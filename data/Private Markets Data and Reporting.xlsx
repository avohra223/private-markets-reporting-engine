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 Vohra\Downloads\"/>
    </mc:Choice>
  </mc:AlternateContent>
  <xr:revisionPtr revIDLastSave="0" documentId="13_ncr:1_{752A6AC9-4A4B-47AC-A5C1-3C4947995ABD}" xr6:coauthVersionLast="47" xr6:coauthVersionMax="47" xr10:uidLastSave="{00000000-0000-0000-0000-000000000000}"/>
  <bookViews>
    <workbookView xWindow="-110" yWindow="-110" windowWidth="19420" windowHeight="11500" tabRatio="801" activeTab="4" xr2:uid="{238E9E0E-8093-46D1-A2A6-06CF91D597C5}"/>
  </bookViews>
  <sheets>
    <sheet name="Funds" sheetId="1" r:id="rId1"/>
    <sheet name="Investors" sheetId="2" r:id="rId2"/>
    <sheet name="Commitments" sheetId="3" r:id="rId3"/>
    <sheet name="FX_Rates" sheetId="4" r:id="rId4"/>
    <sheet name="Transactions" sheetId="5" r:id="rId5"/>
    <sheet name="NAV_Quarterl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<sst xmlns="http://schemas.openxmlformats.org/spreadsheetml/2006/main" count="1167" uniqueCount="243">
  <si>
    <t>Fund_ID</t>
  </si>
  <si>
    <t>Fund_Name</t>
  </si>
  <si>
    <t>Strategy</t>
  </si>
  <si>
    <t>Vintage_Year</t>
  </si>
  <si>
    <t>Base_Currency</t>
  </si>
  <si>
    <t>Fund_Size</t>
  </si>
  <si>
    <t>Mgmt_Fee_Rate</t>
  </si>
  <si>
    <t>Carry_Rate</t>
  </si>
  <si>
    <t>Hurdle_Rate</t>
  </si>
  <si>
    <t>Final_Close_Date</t>
  </si>
  <si>
    <t>F001</t>
  </si>
  <si>
    <t>Apex Buyout Fund III</t>
  </si>
  <si>
    <t>Buyout</t>
  </si>
  <si>
    <t>USD</t>
  </si>
  <si>
    <t>F002</t>
  </si>
  <si>
    <t>Meridian Growth Capital II</t>
  </si>
  <si>
    <t>Growth</t>
  </si>
  <si>
    <t>EUR</t>
  </si>
  <si>
    <t>F003</t>
  </si>
  <si>
    <t>Crestline Senior Credit Partners</t>
  </si>
  <si>
    <t>Credit</t>
  </si>
  <si>
    <t>Investor_ID</t>
  </si>
  <si>
    <t>Investor_Name</t>
  </si>
  <si>
    <t>Investor_Type</t>
  </si>
  <si>
    <t>Country</t>
  </si>
  <si>
    <t>Reporting_Currency</t>
  </si>
  <si>
    <t>KYC_Status</t>
  </si>
  <si>
    <t>INV001</t>
  </si>
  <si>
    <t>Stichting Pensioenfonds ABN</t>
  </si>
  <si>
    <t>Pension</t>
  </si>
  <si>
    <t>Netherlands</t>
  </si>
  <si>
    <t>Approved</t>
  </si>
  <si>
    <t>INV002</t>
  </si>
  <si>
    <t>Caledonian Life Insurance plc</t>
  </si>
  <si>
    <t>Insurance</t>
  </si>
  <si>
    <t>UK</t>
  </si>
  <si>
    <t>GBP</t>
  </si>
  <si>
    <t>INV003</t>
  </si>
  <si>
    <t>Château Famille Office SAS</t>
  </si>
  <si>
    <t>Family Office</t>
  </si>
  <si>
    <t>France</t>
  </si>
  <si>
    <t>INV004</t>
  </si>
  <si>
    <t>Generali Towarzystwo Ubezpieczeń</t>
  </si>
  <si>
    <t>Poland</t>
  </si>
  <si>
    <t>INV005</t>
  </si>
  <si>
    <t>Oxford University Endowment Mgmt</t>
  </si>
  <si>
    <t>Endowment</t>
  </si>
  <si>
    <t>INV006</t>
  </si>
  <si>
    <t>Bergmann Family Partners GmbH</t>
  </si>
  <si>
    <t>Germany</t>
  </si>
  <si>
    <t>Pending</t>
  </si>
  <si>
    <t>Commitment_Amount</t>
  </si>
  <si>
    <t>Commitment_Date</t>
  </si>
  <si>
    <t>Side_Letter_Fee_Discount</t>
  </si>
  <si>
    <t>Commitment_Status</t>
  </si>
  <si>
    <t>Active</t>
  </si>
  <si>
    <t>Transferred</t>
  </si>
  <si>
    <t>Date</t>
  </si>
  <si>
    <t>From_Currency</t>
  </si>
  <si>
    <t>To_Currency</t>
  </si>
  <si>
    <t>FX_Rate</t>
  </si>
  <si>
    <t>PLN</t>
  </si>
  <si>
    <t>EURO</t>
  </si>
  <si>
    <t>Txn_ID</t>
  </si>
  <si>
    <t>Txn_Date</t>
  </si>
  <si>
    <t>Txn_Type</t>
  </si>
  <si>
    <t>Amount_Local</t>
  </si>
  <si>
    <t>Txn_Currency</t>
  </si>
  <si>
    <t>FX_To_Fund_Base</t>
  </si>
  <si>
    <t>Amount_Fund_Base</t>
  </si>
  <si>
    <t>GL_Account</t>
  </si>
  <si>
    <t>Reference</t>
  </si>
  <si>
    <t>TXN001</t>
  </si>
  <si>
    <t>Capital Call</t>
  </si>
  <si>
    <t>Contributions</t>
  </si>
  <si>
    <t>Q3 2021 Capital Call - Tranche 1</t>
  </si>
  <si>
    <t>TXN002</t>
  </si>
  <si>
    <t>TXN003</t>
  </si>
  <si>
    <t>TXN004</t>
  </si>
  <si>
    <t>Management Fee</t>
  </si>
  <si>
    <t>Fees</t>
  </si>
  <si>
    <t>Q3 2021 Management Fee</t>
  </si>
  <si>
    <t>TXN005</t>
  </si>
  <si>
    <t>TXN006</t>
  </si>
  <si>
    <t>TXN007</t>
  </si>
  <si>
    <t>Q4 2021 Capital Call</t>
  </si>
  <si>
    <t>TXN008</t>
  </si>
  <si>
    <t>TXN009</t>
  </si>
  <si>
    <t>TXN010</t>
  </si>
  <si>
    <t>Q4 2021 Management Fee</t>
  </si>
  <si>
    <t>TXN011</t>
  </si>
  <si>
    <t>TXN012</t>
  </si>
  <si>
    <t>TXN013</t>
  </si>
  <si>
    <t>Other Expense</t>
  </si>
  <si>
    <t>Expenses</t>
  </si>
  <si>
    <t>2021 Fund Admin Expense</t>
  </si>
  <si>
    <t>TXN014</t>
  </si>
  <si>
    <t>Q1 2022 Capital Call</t>
  </si>
  <si>
    <t>TXN015</t>
  </si>
  <si>
    <t>TXN016</t>
  </si>
  <si>
    <t>TXN017</t>
  </si>
  <si>
    <t>TXN018</t>
  </si>
  <si>
    <t>TXN019</t>
  </si>
  <si>
    <t>Q1 2022 Management Fee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</si>
  <si>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</si>
  <si>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</si>
  <si>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</si>
  <si>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</si>
  <si>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</si>
  <si>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</si>
  <si>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</si>
  <si>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</si>
  <si>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Q2 2022 Capital Call</t>
  </si>
  <si>
    <t>TXN028</t>
  </si>
  <si>
    <t>TXN029</t>
  </si>
  <si>
    <t>TXN030</t>
  </si>
  <si>
    <t>TXN031</t>
  </si>
  <si>
    <t>Q2 2022 Management Fee</t>
  </si>
  <si>
    <t>TXN032</t>
  </si>
  <si>
    <t>TXN033</t>
  </si>
  <si>
    <t>TXN034</t>
  </si>
  <si>
    <t>TXN035</t>
  </si>
  <si>
    <t>TXN036</t>
  </si>
  <si>
    <t>TXN037</t>
  </si>
  <si>
    <t>TXN038</t>
  </si>
  <si>
    <t>Q3 2022 Capital Call — Tranche 2</t>
  </si>
  <si>
    <t>TXN039</t>
  </si>
  <si>
    <t>Q3 2022 Capital Call</t>
  </si>
  <si>
    <t>TXN040</t>
  </si>
  <si>
    <t>TXN041</t>
  </si>
  <si>
    <t>Q3 2022 Management Fee</t>
  </si>
  <si>
    <t>TXN042</t>
  </si>
  <si>
    <t>TXN043</t>
  </si>
  <si>
    <t>TXN044</t>
  </si>
  <si>
    <t>TXN045</t>
  </si>
  <si>
    <t>TXN046</t>
  </si>
  <si>
    <t>TXN047</t>
  </si>
  <si>
    <t>TXN048</t>
  </si>
  <si>
    <t>Q3 2022 Capital Call - Supplemental</t>
  </si>
  <si>
    <t>TXN049</t>
  </si>
  <si>
    <t>Q4 2022 Management Fee</t>
  </si>
  <si>
    <t>TXN050</t>
  </si>
  <si>
    <t>TXN051</t>
  </si>
  <si>
    <t>TXN052</t>
  </si>
  <si>
    <t>TXN053</t>
  </si>
  <si>
    <t>TXN054</t>
  </si>
  <si>
    <t>TXN055</t>
  </si>
  <si>
    <t>TXN056</t>
  </si>
  <si>
    <t>Distribution</t>
  </si>
  <si>
    <t>Distributions</t>
  </si>
  <si>
    <t>2022 Annual Distribution</t>
  </si>
  <si>
    <t>TXN057</t>
  </si>
  <si>
    <t>TXN058</t>
  </si>
  <si>
    <t>TXN059</t>
  </si>
  <si>
    <t>2022 Legal &amp; Admin Expense</t>
  </si>
  <si>
    <t>TXN060</t>
  </si>
  <si>
    <t>Q1 2023 Capital Call</t>
  </si>
  <si>
    <t>TXN061</t>
  </si>
  <si>
    <t>TXN062</t>
  </si>
  <si>
    <t>TXN063</t>
  </si>
  <si>
    <t>TXN064</t>
  </si>
  <si>
    <t>Q2 2023 Management Fee</t>
  </si>
  <si>
    <t>TXN065</t>
  </si>
  <si>
    <t>TXN066</t>
  </si>
  <si>
    <t>TXN067</t>
  </si>
  <si>
    <t>TXN068</t>
  </si>
  <si>
    <t>Q1 2023 Management Fee</t>
  </si>
  <si>
    <t>TXN069</t>
  </si>
  <si>
    <t>TXN070</t>
  </si>
  <si>
    <t>TXN071</t>
  </si>
  <si>
    <t>TXN072</t>
  </si>
  <si>
    <t>TXN073</t>
  </si>
  <si>
    <t>TXN074</t>
  </si>
  <si>
    <t>TXN075</t>
  </si>
  <si>
    <t>Q2 2023 Capital Call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</si>
  <si>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</si>
  <si>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</si>
  <si>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</si>
  <si>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</si>
  <si>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</si>
  <si>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</si>
  <si>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</si>
  <si>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</si>
  <si>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Q3 2023 Distribution</t>
  </si>
  <si>
    <t>TXN084</t>
  </si>
  <si>
    <t>TXN085</t>
  </si>
  <si>
    <t>TXN086</t>
  </si>
  <si>
    <t>Q3 2023 Capital Call</t>
  </si>
  <si>
    <t>TXN087</t>
  </si>
  <si>
    <t>TXN088</t>
  </si>
  <si>
    <t>TXN089</t>
  </si>
  <si>
    <t>TXN090</t>
  </si>
  <si>
    <t>Q4 2023 / Q1 2024 Capital Call</t>
  </si>
  <si>
    <t>TXN091</t>
  </si>
  <si>
    <t>Q3 2023 Management Fee</t>
  </si>
  <si>
    <t>TXN092</t>
  </si>
  <si>
    <t>TXN093</t>
  </si>
  <si>
    <t>TXN094</t>
  </si>
  <si>
    <t>TXN095</t>
  </si>
  <si>
    <t>H1 2024 Distribution</t>
  </si>
  <si>
    <t>TXN096</t>
  </si>
  <si>
    <t>TXN097</t>
  </si>
  <si>
    <t>TXN098</t>
  </si>
  <si>
    <t>TXN099</t>
  </si>
  <si>
    <t>Q1 2024 Management Fee</t>
  </si>
  <si>
    <t>TXN100</t>
  </si>
  <si>
    <t>TXN101</t>
  </si>
  <si>
    <t>TXN102</t>
  </si>
  <si>
    <t>TXN103</t>
  </si>
  <si>
    <t>TXN104</t>
  </si>
  <si>
    <t>TXN105</t>
  </si>
  <si>
    <t>TXN106</t>
  </si>
  <si>
    <t>Quarter_End_Date</t>
  </si>
  <si>
    <t>Gross_NAV_Fund_Base</t>
  </si>
  <si>
    <t>Net_NAV_Fund_Base</t>
  </si>
  <si>
    <t>Total_Called_To_Date</t>
  </si>
  <si>
    <t>Total_Distributed_To_Date</t>
  </si>
  <si>
    <t>Notes</t>
  </si>
  <si>
    <t>Initial capital deployed; portfolio at par</t>
  </si>
  <si>
    <t>Full initial deployment; slight mark-up on senior loans</t>
  </si>
  <si>
    <t>Interest income accrued; no new calls Q1 2022</t>
  </si>
  <si>
    <t>Stable; credit spread widening partially offset by income</t>
  </si>
  <si>
    <t>Year-end distribution; credit spread recovery</t>
  </si>
  <si>
    <t>Income accrual; portfolio performing</t>
  </si>
  <si>
    <t>Continued income; no new calls</t>
  </si>
  <si>
    <t>Q3 2023 distribution paid; slight mark</t>
  </si>
  <si>
    <t>Stable credit portfolio</t>
  </si>
  <si>
    <t>Continued stable performance</t>
  </si>
  <si>
    <t>Initial capital deployment post-close</t>
  </si>
  <si>
    <t>Supplemental call; portfolio marked down Q3</t>
  </si>
  <si>
    <t>Year-end; recovery in valuations</t>
  </si>
  <si>
    <t>Strong Q1 operating performance across portfolio cos</t>
  </si>
  <si>
    <t>Large Q2 call deployed; new platform acquisition closed</t>
  </si>
  <si>
    <t>Q3 fees; operating companies performing above plan</t>
  </si>
  <si>
    <t>Year-end valuation uplift; dividend recap on one portco</t>
  </si>
  <si>
    <t>Q1 2024 large call; new add-on acquisition</t>
  </si>
  <si>
    <t>H1 2024 distribution; refinancing proceeds</t>
  </si>
  <si>
    <t>Initial deployment post Q1 call</t>
  </si>
  <si>
    <t>Q3 call; two new growth investments closed</t>
  </si>
  <si>
    <t>Year-end; one portco raised bridge financing</t>
  </si>
  <si>
    <t>Strong SaaS portfolio metrics; no new calls Q1</t>
  </si>
  <si>
    <t>Multiple expansion in tech segment; management fees paid</t>
  </si>
  <si>
    <t>Q3 2022 calls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</si>
</sst>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yyyy\-mm\-dd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4" fontId="0" fillId="0" borderId="0" xfId="0" applyNumberFormat="1"/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yyyy\-mm\-dd"/>
    </dxf>
    <dxf>
      <numFmt numFmtId="4" formatCode="#,##0.00"/>
    </dxf>
    <dxf>
      <numFmt numFmtId="166" formatCode="0.0000"/>
    </dxf>
    <dxf>
      <numFmt numFmtId="4" formatCode="#,##0.00"/>
    </dxf>
    <dxf>
      <numFmt numFmtId="165" formatCode="yyyy\-mm\-dd"/>
    </dxf>
    <dxf>
      <numFmt numFmtId="166" formatCode="0.0000"/>
    </dxf>
    <dxf>
      <numFmt numFmtId="165" formatCode="yyyy\-mm\-dd"/>
    </dxf>
    <dxf>
      <numFmt numFmtId="13" formatCode="0%"/>
    </dxf>
    <dxf>
      <numFmt numFmtId="165" formatCode="yyyy\-mm\-dd"/>
    </dxf>
    <dxf>
      <numFmt numFmtId="164" formatCode="&quot;$&quot;#,##0"/>
    </dxf>
    <dxf>
      <numFmt numFmtId="165" formatCode="yyyy\-mm\-dd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E3842-D584-42F5-9C8A-18946A7A895D}" name="tbl_Funds" displayName="tbl_Funds" ref="A1:J4" totalsRowShown="0" headerRowDxfId="5">
  <autoFilter ref="A1:J4" xr:uid="{A7DE3842-D584-42F5-9C8A-18946A7A895D}"/>
  <tableColumns count="10">
    <tableColumn id="1" xr3:uid="{72415CD1-D66B-42DF-8DB1-3A7B501BAC53}" name="Fund_ID"/>
    <tableColumn id="2" xr3:uid="{2D2AD554-349D-4801-B021-5ECA7231178E}" name="Fund_Name"/>
    <tableColumn id="3" xr3:uid="{99D8B4B8-7B48-4657-9884-189AE5C7F87B}" name="Strategy"/>
    <tableColumn id="4" xr3:uid="{F2FB061B-4288-44E7-BC4B-5A21342B4FF3}" name="Vintage_Year"/>
    <tableColumn id="5" xr3:uid="{8B6C4FBE-0F46-4940-BE01-3E39DAFE489F}" name="Base_Currency"/>
    <tableColumn id="6" xr3:uid="{D213489A-33F9-4E91-A2EC-EF6E08D9D473}" name="Fund_Size" dataDxfId="24"/>
    <tableColumn id="7" xr3:uid="{CD2A9B65-36A2-4F34-94C6-DD58F16CCE40}" name="Mgmt_Fee_Rate" dataDxfId="23"/>
    <tableColumn id="8" xr3:uid="{6242BC23-2590-4392-8F2D-6FC1D29BB897}" name="Carry_Rate" dataDxfId="22"/>
    <tableColumn id="9" xr3:uid="{0559B2F1-E565-40F1-B8E8-39901053AF71}" name="Hurdle_Rate" dataDxfId="21"/>
    <tableColumn id="10" xr3:uid="{D3925DE8-763F-49CF-8A1A-BAC452BE74E6}" name="Final_Close_Dat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2103B-7256-4B53-A3E9-65E1812F4153}" name="tbl_Investors" displayName="tbl_Investors" ref="A1:F7" totalsRowShown="0" headerRowDxfId="4">
  <autoFilter ref="A1:F7" xr:uid="{41B2103B-7256-4B53-A3E9-65E1812F4153}"/>
  <tableColumns count="6">
    <tableColumn id="1" xr3:uid="{F276B9AE-C2B4-4289-9EA3-1CE80DA3F12E}" name="Investor_ID"/>
    <tableColumn id="2" xr3:uid="{908A7F31-39D2-4891-B45B-3132C440EE3A}" name="Investor_Name"/>
    <tableColumn id="3" xr3:uid="{F405083C-0625-49F1-A6E4-359780584889}" name="Investor_Type"/>
    <tableColumn id="4" xr3:uid="{2EE32569-06A9-4821-BB81-B06A3C503F47}" name="Country"/>
    <tableColumn id="5" xr3:uid="{2A3549EB-2149-47A5-9B1A-C80D3CE74EB5}" name="Reporting_Currency"/>
    <tableColumn id="6" xr3:uid="{FD3CC94A-ACDB-4472-BAFF-6BF77B1E991D}" name="KYC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C27EC-BC58-452D-AA22-6F7670C28B32}" name="tbl_Commitments" displayName="tbl_Commitments" ref="A1:F13" totalsRowShown="0" headerRowDxfId="3">
  <autoFilter ref="A1:F13" xr:uid="{B5FC27EC-BC58-452D-AA22-6F7670C28B32}"/>
  <tableColumns count="6">
    <tableColumn id="1" xr3:uid="{A8281B84-2418-472D-8D19-FBDE2333E170}" name="Fund_ID"/>
    <tableColumn id="2" xr3:uid="{046BAC25-AE0A-48C1-8567-A39CC221C553}" name="Investor_ID"/>
    <tableColumn id="3" xr3:uid="{F3120095-B859-4F38-BB6F-780CA42AD5DF}" name="Commitment_Amount" dataDxfId="19"/>
    <tableColumn id="4" xr3:uid="{1F36515F-2490-41D2-B867-FBD110D1DF1E}" name="Commitment_Date" dataDxfId="18"/>
    <tableColumn id="5" xr3:uid="{DC71B1F2-61A4-4F33-98F8-8946773D9031}" name="Side_Letter_Fee_Discount" dataDxfId="17"/>
    <tableColumn id="6" xr3:uid="{53792936-5C7E-4930-BEC9-5992B9E27FC5}" name="Commitment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2F58F-B1DF-4841-8499-3EB93C4C61D8}" name="tbl_FX_Rates" displayName="tbl_FX_Rates" ref="A1:D121" totalsRowShown="0" headerRowDxfId="0">
  <autoFilter ref="A1:D121" xr:uid="{4492F58F-B1DF-4841-8499-3EB93C4C61D8}"/>
  <tableColumns count="4">
    <tableColumn id="1" xr3:uid="{654B2EAF-E8A5-4041-AAE1-619DFA6E8A13}" name="Date" dataDxfId="16"/>
    <tableColumn id="2" xr3:uid="{23BE2AD6-BFB8-42DE-9C45-D74405E95AEE}" name="From_Currency"/>
    <tableColumn id="3" xr3:uid="{F556010E-C405-4691-B6D5-B3785D1D41AE}" name="To_Currency"/>
    <tableColumn id="4" xr3:uid="{1D8CAA2F-10E3-4415-992D-AF775A301731}" name="FX_Rate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6F2A5A-C7CF-4586-AD9E-72DD6336D787}" name="tbl_Transactions" displayName="tbl_Transactions" ref="A1:K108" totalsRowShown="0" headerRowDxfId="2">
  <autoFilter ref="A1:K108" xr:uid="{B46F2A5A-C7CF-4586-AD9E-72DD6336D787}">
    <filterColumn colId="1">
      <filters>
        <filter val="F001"/>
      </filters>
    </filterColumn>
    <filterColumn colId="2">
      <filters>
        <filter val="INV001"/>
      </filters>
    </filterColumn>
  </autoFilter>
  <tableColumns count="11">
    <tableColumn id="1" xr3:uid="{1BA14173-4D80-4506-8BCE-4A5182E3754C}" name="Txn_ID"/>
    <tableColumn id="2" xr3:uid="{5301A2A3-CA10-4316-A91E-2F0CEFB6903A}" name="Fund_ID"/>
    <tableColumn id="3" xr3:uid="{7E588B74-1DF9-43D5-AF77-33A021620DB0}" name="Investor_ID"/>
    <tableColumn id="4" xr3:uid="{EC9545A9-4DC9-4288-820F-96D66B66F463}" name="Txn_Date" dataDxfId="14"/>
    <tableColumn id="5" xr3:uid="{74F9F603-6F5D-4027-89B2-F13240891EB9}" name="Txn_Type"/>
    <tableColumn id="6" xr3:uid="{2153703B-FAFE-47C0-B3B8-D0F4B5C0D4B2}" name="Amount_Local" dataDxfId="13"/>
    <tableColumn id="7" xr3:uid="{23D80DD1-DB74-4C99-B209-60DC8BB9A18F}" name="Txn_Currency"/>
    <tableColumn id="8" xr3:uid="{50B2B72E-4261-4959-8878-6470D6E5D534}" name="FX_To_Fund_Base" dataDxfId="12"/>
    <tableColumn id="9" xr3:uid="{853062A4-8726-44C3-86D9-1A47E6521C54}" name="Amount_Fund_Base" dataDxfId="11"/>
    <tableColumn id="10" xr3:uid="{10894C2F-D9FF-4E08-9955-43C82FD45ECF}" name="GL_Account"/>
    <tableColumn id="11" xr3:uid="{18BF3F15-0C61-441D-9DB6-7175FD5D254B}" name="Re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B680EF-922A-4629-B082-9E26E3C9DB60}" name="tbl_NAV_Quarterly" displayName="tbl_NAV_Quarterly" ref="A1:G26" totalsRowShown="0" headerRowDxfId="1">
  <autoFilter ref="A1:G26" xr:uid="{0CB680EF-922A-4629-B082-9E26E3C9DB60}"/>
  <tableColumns count="7">
    <tableColumn id="1" xr3:uid="{05CB2922-788D-456C-BD11-CD13E5CEA967}" name="Fund_ID"/>
    <tableColumn id="2" xr3:uid="{CDE15E47-252B-49C2-A0DC-9815ADAECD02}" name="Quarter_End_Date" dataDxfId="10"/>
    <tableColumn id="3" xr3:uid="{4B7B1BB7-D915-4744-87F0-C62B71D3C9F2}" name="Gross_NAV_Fund_Base" dataDxfId="9"/>
    <tableColumn id="4" xr3:uid="{83C6C5DD-CB7C-488C-B8D2-C8FCACE96DC7}" name="Net_NAV_Fund_Base" dataDxfId="8"/>
    <tableColumn id="5" xr3:uid="{A26AD965-802E-43CA-8385-5281DA731A2B}" name="Total_Called_To_Date" dataDxfId="7"/>
    <tableColumn id="6" xr3:uid="{32A1665B-4F44-4EA8-BCC1-2966448C6A07}" name="Total_Distributed_To_Date" dataDxfId="6"/>
    <tableColumn id="7" xr3:uid="{C0AAF21E-B320-4BE4-A9F6-DE3FE1DEC21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CD7F20-7D69-46B1-801F-D673B695F185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CAB0-F694-4269-BBFA-70868F8553CF}">
  <sheetPr>
    <tabColor rgb="FF1F3864"/>
  </sheetPr>
  <dimension ref="A1:J4"/>
  <sheetViews>
    <sheetView workbookViewId="0">
      <pane ySplit="1" topLeftCell="A2" activePane="bottomLeft" state="frozen"/>
      <selection pane="bottomLeft" activeCell="F2" sqref="F2:F4"/>
    </sheetView>
  </sheetViews>
  <sheetFormatPr defaultRowHeight="14.5" x14ac:dyDescent="0.35"/>
  <cols>
    <col min="1" max="1" width="12.7265625" customWidth="1"/>
    <col min="2" max="2" width="36.36328125" customWidth="1"/>
    <col min="3" max="3" width="14.54296875" customWidth="1"/>
    <col min="4" max="4" width="16.36328125" customWidth="1"/>
    <col min="5" max="5" width="20" customWidth="1"/>
    <col min="6" max="6" width="23.6328125" customWidth="1"/>
    <col min="7" max="7" width="20" customWidth="1"/>
    <col min="8" max="9" width="16.36328125" customWidth="1"/>
    <col min="10" max="10" width="20" customWidth="1"/>
  </cols>
  <sheetData>
    <row r="1" spans="1:10" s="8" customFormat="1" ht="22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2021</v>
      </c>
      <c r="E2" t="s">
        <v>13</v>
      </c>
      <c r="F2" s="1">
        <v>1500000000</v>
      </c>
      <c r="G2" s="2">
        <v>0.02</v>
      </c>
      <c r="H2" s="2">
        <v>0.2</v>
      </c>
      <c r="I2" s="2">
        <v>0.08</v>
      </c>
      <c r="J2" s="3">
        <v>44651</v>
      </c>
    </row>
    <row r="3" spans="1:10" x14ac:dyDescent="0.35">
      <c r="A3" t="s">
        <v>14</v>
      </c>
      <c r="B3" t="s">
        <v>15</v>
      </c>
      <c r="C3" t="s">
        <v>16</v>
      </c>
      <c r="D3">
        <v>2022</v>
      </c>
      <c r="E3" t="s">
        <v>17</v>
      </c>
      <c r="F3" s="1">
        <v>750000000</v>
      </c>
      <c r="G3" s="2">
        <v>0.02</v>
      </c>
      <c r="H3" s="2">
        <v>0.2</v>
      </c>
      <c r="I3" s="2">
        <v>0.08</v>
      </c>
      <c r="J3" s="3">
        <v>45107</v>
      </c>
    </row>
    <row r="4" spans="1:10" x14ac:dyDescent="0.35">
      <c r="A4" t="s">
        <v>18</v>
      </c>
      <c r="B4" t="s">
        <v>19</v>
      </c>
      <c r="C4" t="s">
        <v>20</v>
      </c>
      <c r="D4">
        <v>2020</v>
      </c>
      <c r="E4" t="s">
        <v>13</v>
      </c>
      <c r="F4" s="1">
        <v>500000000</v>
      </c>
      <c r="G4" s="2">
        <v>1.4999999999999999E-2</v>
      </c>
      <c r="H4" s="2">
        <v>0.15</v>
      </c>
      <c r="I4" s="2">
        <v>0.06</v>
      </c>
      <c r="J4" s="3">
        <v>44469</v>
      </c>
    </row>
  </sheetData>
  <dataValidations count="2">
    <dataValidation type="list" allowBlank="1" showInputMessage="1" showErrorMessage="1" sqref="C2:C4" xr:uid="{3D2C9007-EF67-495F-8204-33C5BA3E1960}">
      <formula1>"Buyout,Growth,VC,Credit"</formula1>
    </dataValidation>
    <dataValidation type="list" allowBlank="1" showInputMessage="1" showErrorMessage="1" sqref="E2:E4" xr:uid="{897F0792-D5AE-4177-927D-A5B1A47A4460}">
      <formula1>"USD,EUR,GBP"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F974-56C8-4B78-BE1D-03045CBB2D0D}">
  <sheetPr>
    <tabColor rgb="FF2E75B6"/>
  </sheetPr>
  <dimension ref="A1:F7"/>
  <sheetViews>
    <sheetView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12.7265625" customWidth="1"/>
    <col min="2" max="2" width="40" customWidth="1"/>
    <col min="3" max="4" width="20" customWidth="1"/>
    <col min="5" max="5" width="23.6328125" customWidth="1"/>
    <col min="6" max="6" width="16.36328125" customWidth="1"/>
  </cols>
  <sheetData>
    <row r="1" spans="1:6" s="8" customFormat="1" ht="22" customHeight="1" x14ac:dyDescent="0.3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</row>
    <row r="2" spans="1:6" x14ac:dyDescent="0.35">
      <c r="A2" t="s">
        <v>27</v>
      </c>
      <c r="B2" t="s">
        <v>28</v>
      </c>
      <c r="C2" t="s">
        <v>29</v>
      </c>
      <c r="D2" t="s">
        <v>30</v>
      </c>
      <c r="E2" t="s">
        <v>17</v>
      </c>
      <c r="F2" t="s">
        <v>31</v>
      </c>
    </row>
    <row r="3" spans="1:6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31</v>
      </c>
    </row>
    <row r="4" spans="1:6" x14ac:dyDescent="0.35">
      <c r="A4" t="s">
        <v>37</v>
      </c>
      <c r="B4" t="s">
        <v>38</v>
      </c>
      <c r="C4" t="s">
        <v>39</v>
      </c>
      <c r="D4" t="s">
        <v>40</v>
      </c>
      <c r="E4" t="s">
        <v>17</v>
      </c>
      <c r="F4" t="s">
        <v>31</v>
      </c>
    </row>
    <row r="5" spans="1:6" x14ac:dyDescent="0.35">
      <c r="A5" t="s">
        <v>41</v>
      </c>
      <c r="B5" t="s">
        <v>42</v>
      </c>
      <c r="C5" t="s">
        <v>34</v>
      </c>
      <c r="D5" t="s">
        <v>43</v>
      </c>
      <c r="E5" t="s">
        <v>13</v>
      </c>
      <c r="F5" t="s">
        <v>31</v>
      </c>
    </row>
    <row r="6" spans="1:6" x14ac:dyDescent="0.35">
      <c r="A6" t="s">
        <v>44</v>
      </c>
      <c r="B6" t="s">
        <v>45</v>
      </c>
      <c r="C6" t="s">
        <v>46</v>
      </c>
      <c r="D6" t="s">
        <v>35</v>
      </c>
      <c r="E6" t="s">
        <v>36</v>
      </c>
      <c r="F6" t="s">
        <v>31</v>
      </c>
    </row>
    <row r="7" spans="1:6" x14ac:dyDescent="0.35">
      <c r="A7" t="s">
        <v>47</v>
      </c>
      <c r="B7" t="s">
        <v>48</v>
      </c>
      <c r="C7" t="s">
        <v>39</v>
      </c>
      <c r="D7" t="s">
        <v>49</v>
      </c>
      <c r="E7" t="s">
        <v>17</v>
      </c>
      <c r="F7" t="s">
        <v>50</v>
      </c>
    </row>
  </sheetData>
  <dataValidations count="3">
    <dataValidation type="list" allowBlank="1" showInputMessage="1" showErrorMessage="1" sqref="F2:F7" xr:uid="{607CCE1D-8FAC-4530-8946-F81DB6AD73BA}">
      <formula1>"Approved,Pending"</formula1>
    </dataValidation>
    <dataValidation type="list" allowBlank="1" showInputMessage="1" showErrorMessage="1" sqref="C2:C7" xr:uid="{0D624277-F9DE-4082-95B1-DF92C128F259}">
      <formula1>"Pension,Insurance,Family Office,Endowment"</formula1>
    </dataValidation>
    <dataValidation type="list" allowBlank="1" showInputMessage="1" showErrorMessage="1" sqref="E2:E7" xr:uid="{DFA03FB2-EA38-4A79-A65D-555298B58F24}">
      <formula1>"USD,EUR,GBP"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A46E-D95F-4A8F-8D70-978F26B3C6F7}">
  <sheetPr>
    <tabColor rgb="FF2E75B6"/>
  </sheetPr>
  <dimension ref="A1:F13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2" width="12.7265625" customWidth="1"/>
    <col min="3" max="3" width="27.26953125" customWidth="1"/>
    <col min="4" max="4" width="20" customWidth="1"/>
    <col min="5" max="5" width="30.90625" customWidth="1"/>
    <col min="6" max="6" width="21.81640625" customWidth="1"/>
  </cols>
  <sheetData>
    <row r="1" spans="1:6" s="8" customFormat="1" ht="22" customHeight="1" x14ac:dyDescent="0.35">
      <c r="A1" s="7" t="s">
        <v>0</v>
      </c>
      <c r="B1" s="7" t="s">
        <v>21</v>
      </c>
      <c r="C1" s="7" t="s">
        <v>51</v>
      </c>
      <c r="D1" s="7" t="s">
        <v>52</v>
      </c>
      <c r="E1" s="7" t="s">
        <v>53</v>
      </c>
      <c r="F1" s="7" t="s">
        <v>54</v>
      </c>
    </row>
    <row r="2" spans="1:6" x14ac:dyDescent="0.35">
      <c r="A2" t="s">
        <v>10</v>
      </c>
      <c r="B2" t="s">
        <v>27</v>
      </c>
      <c r="C2" s="1">
        <v>350000000</v>
      </c>
      <c r="D2" s="3">
        <v>44576</v>
      </c>
      <c r="E2" s="4">
        <v>0</v>
      </c>
      <c r="F2" t="s">
        <v>55</v>
      </c>
    </row>
    <row r="3" spans="1:6" x14ac:dyDescent="0.35">
      <c r="A3" t="s">
        <v>10</v>
      </c>
      <c r="B3" t="s">
        <v>32</v>
      </c>
      <c r="C3" s="1">
        <v>400000000</v>
      </c>
      <c r="D3" s="3">
        <v>44576</v>
      </c>
      <c r="E3" s="4">
        <v>0.1</v>
      </c>
      <c r="F3" t="s">
        <v>55</v>
      </c>
    </row>
    <row r="4" spans="1:6" x14ac:dyDescent="0.35">
      <c r="A4" t="s">
        <v>10</v>
      </c>
      <c r="B4" t="s">
        <v>37</v>
      </c>
      <c r="C4" s="1">
        <v>280000000</v>
      </c>
      <c r="D4" s="3">
        <v>44620</v>
      </c>
      <c r="E4" s="4">
        <v>0</v>
      </c>
      <c r="F4" t="s">
        <v>55</v>
      </c>
    </row>
    <row r="5" spans="1:6" x14ac:dyDescent="0.35">
      <c r="A5" t="s">
        <v>10</v>
      </c>
      <c r="B5" t="s">
        <v>41</v>
      </c>
      <c r="C5" s="1">
        <v>250000000</v>
      </c>
      <c r="D5" s="3">
        <v>44620</v>
      </c>
      <c r="E5" s="4">
        <v>0.2</v>
      </c>
      <c r="F5" t="s">
        <v>56</v>
      </c>
    </row>
    <row r="6" spans="1:6" x14ac:dyDescent="0.35">
      <c r="A6" t="s">
        <v>10</v>
      </c>
      <c r="B6" t="s">
        <v>44</v>
      </c>
      <c r="C6" s="1">
        <v>245000000</v>
      </c>
      <c r="D6" s="3">
        <v>44651</v>
      </c>
      <c r="E6" s="4">
        <v>0</v>
      </c>
      <c r="F6" t="s">
        <v>55</v>
      </c>
    </row>
    <row r="7" spans="1:6" x14ac:dyDescent="0.35">
      <c r="A7" t="s">
        <v>14</v>
      </c>
      <c r="B7" t="s">
        <v>27</v>
      </c>
      <c r="C7" s="1">
        <v>200000000</v>
      </c>
      <c r="D7" s="3">
        <v>44985</v>
      </c>
      <c r="E7" s="4">
        <v>0</v>
      </c>
      <c r="F7" t="s">
        <v>55</v>
      </c>
    </row>
    <row r="8" spans="1:6" x14ac:dyDescent="0.35">
      <c r="A8" t="s">
        <v>14</v>
      </c>
      <c r="B8" t="s">
        <v>37</v>
      </c>
      <c r="C8" s="1">
        <v>175000000</v>
      </c>
      <c r="D8" s="3">
        <v>45016</v>
      </c>
      <c r="E8" s="4">
        <v>0.1</v>
      </c>
      <c r="F8" t="s">
        <v>55</v>
      </c>
    </row>
    <row r="9" spans="1:6" x14ac:dyDescent="0.35">
      <c r="A9" t="s">
        <v>14</v>
      </c>
      <c r="B9" t="s">
        <v>44</v>
      </c>
      <c r="C9" s="1">
        <v>185000000</v>
      </c>
      <c r="D9" s="3">
        <v>45046</v>
      </c>
      <c r="E9" s="4">
        <v>0</v>
      </c>
      <c r="F9" t="s">
        <v>55</v>
      </c>
    </row>
    <row r="10" spans="1:6" x14ac:dyDescent="0.35">
      <c r="A10" t="s">
        <v>14</v>
      </c>
      <c r="B10" t="s">
        <v>47</v>
      </c>
      <c r="C10" s="1">
        <v>200000000</v>
      </c>
      <c r="D10" s="3">
        <v>45077</v>
      </c>
      <c r="E10" s="4">
        <v>0</v>
      </c>
      <c r="F10" t="s">
        <v>55</v>
      </c>
    </row>
    <row r="11" spans="1:6" x14ac:dyDescent="0.35">
      <c r="A11" t="s">
        <v>18</v>
      </c>
      <c r="B11" t="s">
        <v>32</v>
      </c>
      <c r="C11" s="1">
        <v>200000000</v>
      </c>
      <c r="D11" s="3">
        <v>44377</v>
      </c>
      <c r="E11" s="4">
        <v>0</v>
      </c>
      <c r="F11" t="s">
        <v>55</v>
      </c>
    </row>
    <row r="12" spans="1:6" x14ac:dyDescent="0.35">
      <c r="A12" t="s">
        <v>18</v>
      </c>
      <c r="B12" t="s">
        <v>41</v>
      </c>
      <c r="C12" s="1">
        <v>160000000</v>
      </c>
      <c r="D12" s="3">
        <v>44408</v>
      </c>
      <c r="E12" s="4">
        <v>0.1</v>
      </c>
      <c r="F12" t="s">
        <v>55</v>
      </c>
    </row>
    <row r="13" spans="1:6" x14ac:dyDescent="0.35">
      <c r="A13" t="s">
        <v>18</v>
      </c>
      <c r="B13" t="s">
        <v>44</v>
      </c>
      <c r="C13" s="1">
        <v>150000000</v>
      </c>
      <c r="D13" s="3">
        <v>44439</v>
      </c>
      <c r="E13" s="4">
        <v>0</v>
      </c>
      <c r="F13" t="s">
        <v>55</v>
      </c>
    </row>
  </sheetData>
  <dataValidations count="2">
    <dataValidation type="list" allowBlank="1" showInputMessage="1" showErrorMessage="1" sqref="F2:F13" xr:uid="{DAB9816A-259C-4602-844D-AE328F19ABC5}">
      <formula1>"Active,Reduced,Transferred"</formula1>
    </dataValidation>
    <dataValidation type="list" allowBlank="1" showInputMessage="1" showErrorMessage="1" sqref="E2:E13" xr:uid="{8FB5F91B-C165-4337-B9F7-9A10402A99AD}">
      <formula1>"0%,10%,20%"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A8A6-9373-438D-9E8E-6DF40B5EE8B4}">
  <sheetPr>
    <tabColor rgb="FF7030A0"/>
  </sheetPr>
  <dimension ref="A1:D121"/>
  <sheetViews>
    <sheetView workbookViewId="0">
      <pane ySplit="1" topLeftCell="A86" activePane="bottomLeft" state="frozen"/>
      <selection pane="bottomLeft" activeCell="D92" sqref="D92"/>
    </sheetView>
  </sheetViews>
  <sheetFormatPr defaultRowHeight="14.5" x14ac:dyDescent="0.35"/>
  <cols>
    <col min="1" max="1" width="18.1796875" customWidth="1"/>
    <col min="2" max="3" width="20" customWidth="1"/>
    <col min="4" max="4" width="14.54296875" customWidth="1"/>
  </cols>
  <sheetData>
    <row r="1" spans="1:4" s="8" customFormat="1" ht="22" customHeight="1" x14ac:dyDescent="0.35">
      <c r="A1" s="7" t="s">
        <v>57</v>
      </c>
      <c r="B1" s="7" t="s">
        <v>58</v>
      </c>
      <c r="C1" s="7" t="s">
        <v>59</v>
      </c>
      <c r="D1" s="7" t="s">
        <v>60</v>
      </c>
    </row>
    <row r="2" spans="1:4" x14ac:dyDescent="0.35">
      <c r="A2" s="3">
        <v>44377</v>
      </c>
      <c r="B2" t="s">
        <v>17</v>
      </c>
      <c r="C2" t="s">
        <v>13</v>
      </c>
      <c r="D2" s="5">
        <v>1.1852</v>
      </c>
    </row>
    <row r="3" spans="1:4" x14ac:dyDescent="0.35">
      <c r="A3" s="3">
        <v>44377</v>
      </c>
      <c r="B3" t="s">
        <v>36</v>
      </c>
      <c r="C3" t="s">
        <v>13</v>
      </c>
      <c r="D3" s="5">
        <v>1.3819999999999999</v>
      </c>
    </row>
    <row r="4" spans="1:4" x14ac:dyDescent="0.35">
      <c r="A4" s="3">
        <v>44377</v>
      </c>
      <c r="B4" t="s">
        <v>61</v>
      </c>
      <c r="C4" t="s">
        <v>13</v>
      </c>
      <c r="D4" s="5">
        <v>0.26379999999999998</v>
      </c>
    </row>
    <row r="5" spans="1:4" x14ac:dyDescent="0.35">
      <c r="A5" s="3">
        <v>44408</v>
      </c>
      <c r="B5" t="s">
        <v>17</v>
      </c>
      <c r="C5" t="s">
        <v>13</v>
      </c>
      <c r="D5" s="5">
        <v>1.1872</v>
      </c>
    </row>
    <row r="6" spans="1:4" x14ac:dyDescent="0.35">
      <c r="A6" s="3">
        <v>44408</v>
      </c>
      <c r="B6" t="s">
        <v>36</v>
      </c>
      <c r="C6" t="s">
        <v>13</v>
      </c>
      <c r="D6" s="5">
        <v>1.3905000000000001</v>
      </c>
    </row>
    <row r="7" spans="1:4" x14ac:dyDescent="0.35">
      <c r="A7" s="3">
        <v>44408</v>
      </c>
      <c r="B7" t="s">
        <v>61</v>
      </c>
      <c r="C7" t="s">
        <v>13</v>
      </c>
      <c r="D7" s="5">
        <v>0.26119999999999999</v>
      </c>
    </row>
    <row r="8" spans="1:4" x14ac:dyDescent="0.35">
      <c r="A8" s="3">
        <v>44439</v>
      </c>
      <c r="B8" t="s">
        <v>17</v>
      </c>
      <c r="C8" t="s">
        <v>13</v>
      </c>
      <c r="D8" s="5">
        <v>1.18</v>
      </c>
    </row>
    <row r="9" spans="1:4" x14ac:dyDescent="0.35">
      <c r="A9" s="3">
        <v>44439</v>
      </c>
      <c r="B9" t="s">
        <v>36</v>
      </c>
      <c r="C9" t="s">
        <v>13</v>
      </c>
      <c r="D9" s="5">
        <v>1.3751</v>
      </c>
    </row>
    <row r="10" spans="1:4" x14ac:dyDescent="0.35">
      <c r="A10" s="3">
        <v>44439</v>
      </c>
      <c r="B10" t="s">
        <v>61</v>
      </c>
      <c r="C10" t="s">
        <v>13</v>
      </c>
      <c r="D10" s="5">
        <v>0.25900000000000001</v>
      </c>
    </row>
    <row r="11" spans="1:4" x14ac:dyDescent="0.35">
      <c r="A11" s="3">
        <v>44469</v>
      </c>
      <c r="B11" t="s">
        <v>17</v>
      </c>
      <c r="C11" t="s">
        <v>13</v>
      </c>
      <c r="D11" s="5">
        <v>1.1577999999999999</v>
      </c>
    </row>
    <row r="12" spans="1:4" x14ac:dyDescent="0.35">
      <c r="A12" s="3">
        <v>44469</v>
      </c>
      <c r="B12" t="s">
        <v>36</v>
      </c>
      <c r="C12" t="s">
        <v>13</v>
      </c>
      <c r="D12" s="5">
        <v>1.3463000000000001</v>
      </c>
    </row>
    <row r="13" spans="1:4" x14ac:dyDescent="0.35">
      <c r="A13" s="3">
        <v>44469</v>
      </c>
      <c r="B13" t="s">
        <v>61</v>
      </c>
      <c r="C13" t="s">
        <v>13</v>
      </c>
      <c r="D13" s="5">
        <v>0.25330000000000003</v>
      </c>
    </row>
    <row r="14" spans="1:4" x14ac:dyDescent="0.35">
      <c r="A14" s="3">
        <v>44500</v>
      </c>
      <c r="B14" t="s">
        <v>17</v>
      </c>
      <c r="C14" t="s">
        <v>13</v>
      </c>
      <c r="D14" s="5">
        <v>1.1559999999999999</v>
      </c>
    </row>
    <row r="15" spans="1:4" x14ac:dyDescent="0.35">
      <c r="A15" s="3">
        <v>44500</v>
      </c>
      <c r="B15" t="s">
        <v>36</v>
      </c>
      <c r="C15" t="s">
        <v>13</v>
      </c>
      <c r="D15" s="5">
        <v>1.3697999999999999</v>
      </c>
    </row>
    <row r="16" spans="1:4" x14ac:dyDescent="0.35">
      <c r="A16" s="3">
        <v>44500</v>
      </c>
      <c r="B16" t="s">
        <v>61</v>
      </c>
      <c r="C16" t="s">
        <v>13</v>
      </c>
      <c r="D16" s="5">
        <v>0.25009999999999999</v>
      </c>
    </row>
    <row r="17" spans="1:4" x14ac:dyDescent="0.35">
      <c r="A17" s="3">
        <v>44530</v>
      </c>
      <c r="B17" t="s">
        <v>17</v>
      </c>
      <c r="C17" t="s">
        <v>13</v>
      </c>
      <c r="D17" s="5">
        <v>1.1322000000000001</v>
      </c>
    </row>
    <row r="18" spans="1:4" x14ac:dyDescent="0.35">
      <c r="A18" s="3">
        <v>44530</v>
      </c>
      <c r="B18" t="s">
        <v>36</v>
      </c>
      <c r="C18" t="s">
        <v>13</v>
      </c>
      <c r="D18" s="5">
        <v>1.329</v>
      </c>
    </row>
    <row r="19" spans="1:4" x14ac:dyDescent="0.35">
      <c r="A19" s="3">
        <v>44530</v>
      </c>
      <c r="B19" t="s">
        <v>61</v>
      </c>
      <c r="C19" t="s">
        <v>13</v>
      </c>
      <c r="D19" s="5">
        <v>0.2445</v>
      </c>
    </row>
    <row r="20" spans="1:4" x14ac:dyDescent="0.35">
      <c r="A20" s="3">
        <v>44561</v>
      </c>
      <c r="B20" t="s">
        <v>17</v>
      </c>
      <c r="C20" t="s">
        <v>13</v>
      </c>
      <c r="D20" s="5">
        <v>1.1326000000000001</v>
      </c>
    </row>
    <row r="21" spans="1:4" x14ac:dyDescent="0.35">
      <c r="A21" s="3">
        <v>44561</v>
      </c>
      <c r="B21" t="s">
        <v>36</v>
      </c>
      <c r="C21" t="s">
        <v>13</v>
      </c>
      <c r="D21" s="5">
        <v>1.3532999999999999</v>
      </c>
    </row>
    <row r="22" spans="1:4" x14ac:dyDescent="0.35">
      <c r="A22" s="3">
        <v>44561</v>
      </c>
      <c r="B22" t="s">
        <v>61</v>
      </c>
      <c r="C22" t="s">
        <v>13</v>
      </c>
      <c r="D22" s="5">
        <v>0.24679999999999999</v>
      </c>
    </row>
    <row r="23" spans="1:4" x14ac:dyDescent="0.35">
      <c r="A23" s="3">
        <v>44592</v>
      </c>
      <c r="B23" t="s">
        <v>17</v>
      </c>
      <c r="C23" t="s">
        <v>13</v>
      </c>
      <c r="D23" s="5">
        <v>1.1229</v>
      </c>
    </row>
    <row r="24" spans="1:4" x14ac:dyDescent="0.35">
      <c r="A24" s="3">
        <v>44592</v>
      </c>
      <c r="B24" t="s">
        <v>36</v>
      </c>
      <c r="C24" t="s">
        <v>13</v>
      </c>
      <c r="D24" s="5">
        <v>1.3432999999999999</v>
      </c>
    </row>
    <row r="25" spans="1:4" x14ac:dyDescent="0.35">
      <c r="A25" s="3">
        <v>44592</v>
      </c>
      <c r="B25" t="s">
        <v>61</v>
      </c>
      <c r="C25" t="s">
        <v>13</v>
      </c>
      <c r="D25" s="5">
        <v>0.23880000000000001</v>
      </c>
    </row>
    <row r="26" spans="1:4" x14ac:dyDescent="0.35">
      <c r="A26" s="3">
        <v>44620</v>
      </c>
      <c r="B26" t="s">
        <v>17</v>
      </c>
      <c r="C26" t="s">
        <v>13</v>
      </c>
      <c r="D26" s="5">
        <v>1.1127</v>
      </c>
    </row>
    <row r="27" spans="1:4" x14ac:dyDescent="0.35">
      <c r="A27" s="3">
        <v>44620</v>
      </c>
      <c r="B27" t="s">
        <v>36</v>
      </c>
      <c r="C27" t="s">
        <v>13</v>
      </c>
      <c r="D27" s="5">
        <v>1.341</v>
      </c>
    </row>
    <row r="28" spans="1:4" x14ac:dyDescent="0.35">
      <c r="A28" s="3">
        <v>44620</v>
      </c>
      <c r="B28" t="s">
        <v>61</v>
      </c>
      <c r="C28" t="s">
        <v>13</v>
      </c>
      <c r="D28" s="5">
        <v>0.23019999999999999</v>
      </c>
    </row>
    <row r="29" spans="1:4" x14ac:dyDescent="0.35">
      <c r="A29" s="3">
        <v>44651</v>
      </c>
      <c r="B29" t="s">
        <v>17</v>
      </c>
      <c r="C29" t="s">
        <v>13</v>
      </c>
      <c r="D29" s="5">
        <v>1.1073</v>
      </c>
    </row>
    <row r="30" spans="1:4" x14ac:dyDescent="0.35">
      <c r="A30" s="3">
        <v>44651</v>
      </c>
      <c r="B30" t="s">
        <v>36</v>
      </c>
      <c r="C30" t="s">
        <v>13</v>
      </c>
      <c r="D30" s="5">
        <v>1.3140000000000001</v>
      </c>
    </row>
    <row r="31" spans="1:4" x14ac:dyDescent="0.35">
      <c r="A31" s="3">
        <v>44651</v>
      </c>
      <c r="B31" t="s">
        <v>61</v>
      </c>
      <c r="C31" t="s">
        <v>13</v>
      </c>
      <c r="D31" s="5">
        <v>0.22339999999999999</v>
      </c>
    </row>
    <row r="32" spans="1:4" x14ac:dyDescent="0.35">
      <c r="A32" s="3">
        <v>44681</v>
      </c>
      <c r="B32" t="s">
        <v>17</v>
      </c>
      <c r="C32" t="s">
        <v>13</v>
      </c>
      <c r="D32" s="5">
        <v>1.0541</v>
      </c>
    </row>
    <row r="33" spans="1:4" x14ac:dyDescent="0.35">
      <c r="A33" s="3">
        <v>44681</v>
      </c>
      <c r="B33" t="s">
        <v>36</v>
      </c>
      <c r="C33" t="s">
        <v>13</v>
      </c>
      <c r="D33" s="5">
        <v>1.2566999999999999</v>
      </c>
    </row>
    <row r="34" spans="1:4" x14ac:dyDescent="0.35">
      <c r="A34" s="3">
        <v>44681</v>
      </c>
      <c r="B34" t="s">
        <v>61</v>
      </c>
      <c r="C34" t="s">
        <v>13</v>
      </c>
      <c r="D34" s="5">
        <v>0.2198</v>
      </c>
    </row>
    <row r="35" spans="1:4" x14ac:dyDescent="0.35">
      <c r="A35" s="3">
        <v>44712</v>
      </c>
      <c r="B35" t="s">
        <v>17</v>
      </c>
      <c r="C35" t="s">
        <v>13</v>
      </c>
      <c r="D35" s="5">
        <v>1.0723</v>
      </c>
    </row>
    <row r="36" spans="1:4" x14ac:dyDescent="0.35">
      <c r="A36" s="3">
        <v>44712</v>
      </c>
      <c r="B36" t="s">
        <v>36</v>
      </c>
      <c r="C36" t="s">
        <v>13</v>
      </c>
      <c r="D36" s="5">
        <v>1.2611000000000001</v>
      </c>
    </row>
    <row r="37" spans="1:4" x14ac:dyDescent="0.35">
      <c r="A37" s="3">
        <v>44712</v>
      </c>
      <c r="B37" t="s">
        <v>61</v>
      </c>
      <c r="C37" t="s">
        <v>13</v>
      </c>
      <c r="D37" s="5">
        <v>0.22109999999999999</v>
      </c>
    </row>
    <row r="38" spans="1:4" x14ac:dyDescent="0.35">
      <c r="A38" s="3">
        <v>44742</v>
      </c>
      <c r="B38" t="s">
        <v>17</v>
      </c>
      <c r="C38" t="s">
        <v>13</v>
      </c>
      <c r="D38" s="5">
        <v>1.048</v>
      </c>
    </row>
    <row r="39" spans="1:4" x14ac:dyDescent="0.35">
      <c r="A39" s="3">
        <v>44742</v>
      </c>
      <c r="B39" t="s">
        <v>36</v>
      </c>
      <c r="C39" t="s">
        <v>13</v>
      </c>
      <c r="D39" s="5">
        <v>1.2166999999999999</v>
      </c>
    </row>
    <row r="40" spans="1:4" x14ac:dyDescent="0.35">
      <c r="A40" s="3">
        <v>44742</v>
      </c>
      <c r="B40" t="s">
        <v>61</v>
      </c>
      <c r="C40" t="s">
        <v>13</v>
      </c>
      <c r="D40" s="5">
        <v>0.21560000000000001</v>
      </c>
    </row>
    <row r="41" spans="1:4" x14ac:dyDescent="0.35">
      <c r="A41" s="3">
        <v>44773</v>
      </c>
      <c r="B41" t="s">
        <v>17</v>
      </c>
      <c r="C41" t="s">
        <v>13</v>
      </c>
      <c r="D41" s="5">
        <v>1.0218</v>
      </c>
    </row>
    <row r="42" spans="1:4" x14ac:dyDescent="0.35">
      <c r="A42" s="3">
        <v>44773</v>
      </c>
      <c r="B42" t="s">
        <v>36</v>
      </c>
      <c r="C42" t="s">
        <v>13</v>
      </c>
      <c r="D42" s="5">
        <v>1.2179</v>
      </c>
    </row>
    <row r="43" spans="1:4" x14ac:dyDescent="0.35">
      <c r="A43" s="3">
        <v>44773</v>
      </c>
      <c r="B43" t="s">
        <v>61</v>
      </c>
      <c r="C43" t="s">
        <v>13</v>
      </c>
      <c r="D43" s="5">
        <v>0.2102</v>
      </c>
    </row>
    <row r="44" spans="1:4" x14ac:dyDescent="0.35">
      <c r="A44" s="3">
        <v>44804</v>
      </c>
      <c r="B44" t="s">
        <v>17</v>
      </c>
      <c r="C44" t="s">
        <v>13</v>
      </c>
      <c r="D44" s="5">
        <v>0.99580000000000002</v>
      </c>
    </row>
    <row r="45" spans="1:4" x14ac:dyDescent="0.35">
      <c r="A45" s="3">
        <v>44804</v>
      </c>
      <c r="B45" t="s">
        <v>36</v>
      </c>
      <c r="C45" t="s">
        <v>13</v>
      </c>
      <c r="D45" s="5">
        <v>1.1609</v>
      </c>
    </row>
    <row r="46" spans="1:4" x14ac:dyDescent="0.35">
      <c r="A46" s="3">
        <v>44804</v>
      </c>
      <c r="B46" t="s">
        <v>61</v>
      </c>
      <c r="C46" t="s">
        <v>13</v>
      </c>
      <c r="D46" s="5">
        <v>0.20780000000000001</v>
      </c>
    </row>
    <row r="47" spans="1:4" x14ac:dyDescent="0.35">
      <c r="A47" s="3">
        <v>44834</v>
      </c>
      <c r="B47" t="s">
        <v>17</v>
      </c>
      <c r="C47" t="s">
        <v>13</v>
      </c>
      <c r="D47" s="5">
        <v>0.97960000000000003</v>
      </c>
    </row>
    <row r="48" spans="1:4" x14ac:dyDescent="0.35">
      <c r="A48" s="3">
        <v>44834</v>
      </c>
      <c r="B48" t="s">
        <v>36</v>
      </c>
      <c r="C48" t="s">
        <v>13</v>
      </c>
      <c r="D48" s="5">
        <v>1.1157999999999999</v>
      </c>
    </row>
    <row r="49" spans="1:4" x14ac:dyDescent="0.35">
      <c r="A49" s="3">
        <v>44834</v>
      </c>
      <c r="B49" t="s">
        <v>61</v>
      </c>
      <c r="C49" t="s">
        <v>13</v>
      </c>
      <c r="D49" s="5">
        <v>0.20319999999999999</v>
      </c>
    </row>
    <row r="50" spans="1:4" x14ac:dyDescent="0.35">
      <c r="A50" s="3">
        <v>44865</v>
      </c>
      <c r="B50" t="s">
        <v>17</v>
      </c>
      <c r="C50" t="s">
        <v>13</v>
      </c>
      <c r="D50" s="5">
        <v>0.99639999999999995</v>
      </c>
    </row>
    <row r="51" spans="1:4" x14ac:dyDescent="0.35">
      <c r="A51" s="3">
        <v>44865</v>
      </c>
      <c r="B51" t="s">
        <v>36</v>
      </c>
      <c r="C51" t="s">
        <v>13</v>
      </c>
      <c r="D51" s="5">
        <v>1.1504000000000001</v>
      </c>
    </row>
    <row r="52" spans="1:4" x14ac:dyDescent="0.35">
      <c r="A52" s="3">
        <v>44865</v>
      </c>
      <c r="B52" t="s">
        <v>61</v>
      </c>
      <c r="C52" t="s">
        <v>13</v>
      </c>
      <c r="D52" s="5">
        <v>0.2054</v>
      </c>
    </row>
    <row r="53" spans="1:4" x14ac:dyDescent="0.35">
      <c r="A53" s="3">
        <v>44895</v>
      </c>
      <c r="B53" t="s">
        <v>17</v>
      </c>
      <c r="C53" t="s">
        <v>13</v>
      </c>
      <c r="D53" s="5">
        <v>1.0338000000000001</v>
      </c>
    </row>
    <row r="54" spans="1:4" x14ac:dyDescent="0.35">
      <c r="A54" s="3">
        <v>44895</v>
      </c>
      <c r="B54" t="s">
        <v>36</v>
      </c>
      <c r="C54" t="s">
        <v>13</v>
      </c>
      <c r="D54" s="5">
        <v>1.1974</v>
      </c>
    </row>
    <row r="55" spans="1:4" x14ac:dyDescent="0.35">
      <c r="A55" s="3">
        <v>44895</v>
      </c>
      <c r="B55" t="s">
        <v>61</v>
      </c>
      <c r="C55" t="s">
        <v>13</v>
      </c>
      <c r="D55" s="5">
        <v>0.21429999999999999</v>
      </c>
    </row>
    <row r="56" spans="1:4" x14ac:dyDescent="0.35">
      <c r="A56" s="3">
        <v>44926</v>
      </c>
      <c r="B56" t="s">
        <v>17</v>
      </c>
      <c r="C56" t="s">
        <v>13</v>
      </c>
      <c r="D56" s="5">
        <v>1.0705</v>
      </c>
    </row>
    <row r="57" spans="1:4" x14ac:dyDescent="0.35">
      <c r="A57" s="3">
        <v>44926</v>
      </c>
      <c r="B57" t="s">
        <v>36</v>
      </c>
      <c r="C57" t="s">
        <v>13</v>
      </c>
      <c r="D57" s="5">
        <v>1.2099</v>
      </c>
    </row>
    <row r="58" spans="1:4" x14ac:dyDescent="0.35">
      <c r="A58" s="3">
        <v>44926</v>
      </c>
      <c r="B58" t="s">
        <v>61</v>
      </c>
      <c r="C58" t="s">
        <v>13</v>
      </c>
      <c r="D58" s="5">
        <v>0.21990000000000001</v>
      </c>
    </row>
    <row r="59" spans="1:4" x14ac:dyDescent="0.35">
      <c r="A59" s="3">
        <v>44957</v>
      </c>
      <c r="B59" t="s">
        <v>17</v>
      </c>
      <c r="C59" t="s">
        <v>13</v>
      </c>
      <c r="D59" s="5">
        <v>1.0862000000000001</v>
      </c>
    </row>
    <row r="60" spans="1:4" x14ac:dyDescent="0.35">
      <c r="A60" s="3">
        <v>44957</v>
      </c>
      <c r="B60" t="s">
        <v>36</v>
      </c>
      <c r="C60" t="s">
        <v>13</v>
      </c>
      <c r="D60" s="5">
        <v>1.2284999999999999</v>
      </c>
    </row>
    <row r="61" spans="1:4" x14ac:dyDescent="0.35">
      <c r="A61" s="3">
        <v>44957</v>
      </c>
      <c r="B61" t="s">
        <v>61</v>
      </c>
      <c r="C61" t="s">
        <v>13</v>
      </c>
      <c r="D61" s="5">
        <v>0.2248</v>
      </c>
    </row>
    <row r="62" spans="1:4" x14ac:dyDescent="0.35">
      <c r="A62" s="3">
        <v>44985</v>
      </c>
      <c r="B62" t="s">
        <v>17</v>
      </c>
      <c r="C62" t="s">
        <v>13</v>
      </c>
      <c r="D62" s="5">
        <v>1.0602</v>
      </c>
    </row>
    <row r="63" spans="1:4" x14ac:dyDescent="0.35">
      <c r="A63" s="3">
        <v>44985</v>
      </c>
      <c r="B63" t="s">
        <v>36</v>
      </c>
      <c r="C63" t="s">
        <v>13</v>
      </c>
      <c r="D63" s="5">
        <v>1.1998</v>
      </c>
    </row>
    <row r="64" spans="1:4" x14ac:dyDescent="0.35">
      <c r="A64" s="3">
        <v>44985</v>
      </c>
      <c r="B64" t="s">
        <v>61</v>
      </c>
      <c r="C64" t="s">
        <v>13</v>
      </c>
      <c r="D64" s="5">
        <v>0.22189999999999999</v>
      </c>
    </row>
    <row r="65" spans="1:4" x14ac:dyDescent="0.35">
      <c r="A65" s="3">
        <v>45016</v>
      </c>
      <c r="B65" t="s">
        <v>17</v>
      </c>
      <c r="C65" t="s">
        <v>13</v>
      </c>
      <c r="D65" s="5">
        <v>1.0891</v>
      </c>
    </row>
    <row r="66" spans="1:4" x14ac:dyDescent="0.35">
      <c r="A66" s="3">
        <v>45016</v>
      </c>
      <c r="B66" t="s">
        <v>36</v>
      </c>
      <c r="C66" t="s">
        <v>13</v>
      </c>
      <c r="D66" s="5">
        <v>1.2332000000000001</v>
      </c>
    </row>
    <row r="67" spans="1:4" x14ac:dyDescent="0.35">
      <c r="A67" s="3">
        <v>45016</v>
      </c>
      <c r="B67" t="s">
        <v>61</v>
      </c>
      <c r="C67" t="s">
        <v>13</v>
      </c>
      <c r="D67" s="5">
        <v>0.2278</v>
      </c>
    </row>
    <row r="68" spans="1:4" x14ac:dyDescent="0.35">
      <c r="A68" s="3">
        <v>45046</v>
      </c>
      <c r="B68" t="s">
        <v>17</v>
      </c>
      <c r="C68" t="s">
        <v>13</v>
      </c>
      <c r="D68" s="5">
        <v>1.1015999999999999</v>
      </c>
    </row>
    <row r="69" spans="1:4" x14ac:dyDescent="0.35">
      <c r="A69" s="3">
        <v>45046</v>
      </c>
      <c r="B69" t="s">
        <v>36</v>
      </c>
      <c r="C69" t="s">
        <v>13</v>
      </c>
      <c r="D69" s="5">
        <v>1.2486999999999999</v>
      </c>
    </row>
    <row r="70" spans="1:4" x14ac:dyDescent="0.35">
      <c r="A70" s="3">
        <v>45046</v>
      </c>
      <c r="B70" t="s">
        <v>61</v>
      </c>
      <c r="C70" t="s">
        <v>13</v>
      </c>
      <c r="D70" s="5">
        <v>0.2334</v>
      </c>
    </row>
    <row r="71" spans="1:4" x14ac:dyDescent="0.35">
      <c r="A71" s="3">
        <v>45077</v>
      </c>
      <c r="B71" t="s">
        <v>17</v>
      </c>
      <c r="C71" t="s">
        <v>13</v>
      </c>
      <c r="D71" s="5">
        <v>1.0778000000000001</v>
      </c>
    </row>
    <row r="72" spans="1:4" x14ac:dyDescent="0.35">
      <c r="A72" s="3">
        <v>45077</v>
      </c>
      <c r="B72" t="s">
        <v>36</v>
      </c>
      <c r="C72" t="s">
        <v>13</v>
      </c>
      <c r="D72" s="5">
        <v>1.2455000000000001</v>
      </c>
    </row>
    <row r="73" spans="1:4" x14ac:dyDescent="0.35">
      <c r="A73" s="3">
        <v>45077</v>
      </c>
      <c r="B73" t="s">
        <v>61</v>
      </c>
      <c r="C73" t="s">
        <v>13</v>
      </c>
      <c r="D73" s="5">
        <v>0.22900000000000001</v>
      </c>
    </row>
    <row r="74" spans="1:4" x14ac:dyDescent="0.35">
      <c r="A74" s="3">
        <v>45107</v>
      </c>
      <c r="B74" t="s">
        <v>62</v>
      </c>
      <c r="C74" t="s">
        <v>13</v>
      </c>
      <c r="D74" s="5">
        <v>1.0911</v>
      </c>
    </row>
    <row r="75" spans="1:4" x14ac:dyDescent="0.35">
      <c r="A75" s="3">
        <v>45107</v>
      </c>
      <c r="B75" t="s">
        <v>36</v>
      </c>
      <c r="C75" t="s">
        <v>13</v>
      </c>
      <c r="D75" s="5">
        <v>1.2712000000000001</v>
      </c>
    </row>
    <row r="76" spans="1:4" x14ac:dyDescent="0.35">
      <c r="A76" s="3">
        <v>45107</v>
      </c>
      <c r="B76" t="s">
        <v>61</v>
      </c>
      <c r="C76" t="s">
        <v>13</v>
      </c>
      <c r="D76" s="5">
        <v>0.2341</v>
      </c>
    </row>
    <row r="77" spans="1:4" x14ac:dyDescent="0.35">
      <c r="A77" s="3">
        <v>45138</v>
      </c>
      <c r="B77" t="s">
        <v>17</v>
      </c>
      <c r="C77" t="s">
        <v>13</v>
      </c>
      <c r="D77" s="5">
        <v>1.1009</v>
      </c>
    </row>
    <row r="78" spans="1:4" x14ac:dyDescent="0.35">
      <c r="A78" s="3">
        <v>45138</v>
      </c>
      <c r="B78" t="s">
        <v>36</v>
      </c>
      <c r="C78" t="s">
        <v>13</v>
      </c>
      <c r="D78" s="5">
        <v>1.2826</v>
      </c>
    </row>
    <row r="79" spans="1:4" x14ac:dyDescent="0.35">
      <c r="A79" s="3">
        <v>45138</v>
      </c>
      <c r="B79" t="s">
        <v>61</v>
      </c>
      <c r="C79" t="s">
        <v>13</v>
      </c>
      <c r="D79" s="5">
        <v>0.23680000000000001</v>
      </c>
    </row>
    <row r="80" spans="1:4" x14ac:dyDescent="0.35">
      <c r="A80" s="3">
        <v>45169</v>
      </c>
      <c r="B80" t="s">
        <v>17</v>
      </c>
      <c r="C80" t="s">
        <v>13</v>
      </c>
      <c r="D80" s="5">
        <v>1.0846</v>
      </c>
    </row>
    <row r="81" spans="1:4" x14ac:dyDescent="0.35">
      <c r="A81" s="3">
        <v>45169</v>
      </c>
      <c r="B81" t="s">
        <v>36</v>
      </c>
      <c r="C81" t="s">
        <v>13</v>
      </c>
      <c r="D81" s="5">
        <v>1.26</v>
      </c>
    </row>
    <row r="82" spans="1:4" x14ac:dyDescent="0.35">
      <c r="A82" s="3">
        <v>45169</v>
      </c>
      <c r="B82" t="s">
        <v>61</v>
      </c>
      <c r="C82" t="s">
        <v>13</v>
      </c>
      <c r="D82" s="5">
        <v>0.2311</v>
      </c>
    </row>
    <row r="83" spans="1:4" x14ac:dyDescent="0.35">
      <c r="A83" s="3">
        <v>45199</v>
      </c>
      <c r="B83" t="s">
        <v>17</v>
      </c>
      <c r="C83" t="s">
        <v>13</v>
      </c>
      <c r="D83" s="5">
        <v>1.0572999999999999</v>
      </c>
    </row>
    <row r="84" spans="1:4" x14ac:dyDescent="0.35">
      <c r="A84" s="3">
        <v>45199</v>
      </c>
      <c r="B84" t="s">
        <v>36</v>
      </c>
      <c r="C84" t="s">
        <v>13</v>
      </c>
      <c r="D84" s="5">
        <v>1.2198</v>
      </c>
    </row>
    <row r="85" spans="1:4" x14ac:dyDescent="0.35">
      <c r="A85" s="3">
        <v>45199</v>
      </c>
      <c r="B85" t="s">
        <v>61</v>
      </c>
      <c r="C85" t="s">
        <v>13</v>
      </c>
      <c r="D85" s="5">
        <v>0.22650000000000001</v>
      </c>
    </row>
    <row r="86" spans="1:4" x14ac:dyDescent="0.35">
      <c r="A86" s="3">
        <v>45230</v>
      </c>
      <c r="B86" t="s">
        <v>17</v>
      </c>
      <c r="C86" t="s">
        <v>13</v>
      </c>
      <c r="D86" s="5">
        <v>1.0561</v>
      </c>
    </row>
    <row r="87" spans="1:4" x14ac:dyDescent="0.35">
      <c r="A87" s="3">
        <v>45230</v>
      </c>
      <c r="B87" t="s">
        <v>36</v>
      </c>
      <c r="C87" t="s">
        <v>13</v>
      </c>
      <c r="D87" s="5">
        <v>1.2125999999999999</v>
      </c>
    </row>
    <row r="88" spans="1:4" x14ac:dyDescent="0.35">
      <c r="A88" s="3">
        <v>45230</v>
      </c>
      <c r="B88" t="s">
        <v>61</v>
      </c>
      <c r="C88" t="s">
        <v>13</v>
      </c>
      <c r="D88" s="5">
        <v>0.22439999999999999</v>
      </c>
    </row>
    <row r="89" spans="1:4" x14ac:dyDescent="0.35">
      <c r="A89" s="3">
        <v>45260</v>
      </c>
      <c r="B89" t="s">
        <v>17</v>
      </c>
      <c r="C89" t="s">
        <v>13</v>
      </c>
      <c r="D89" s="5">
        <v>1.0966</v>
      </c>
    </row>
    <row r="90" spans="1:4" x14ac:dyDescent="0.35">
      <c r="A90" s="3">
        <v>45260</v>
      </c>
      <c r="B90" t="s">
        <v>36</v>
      </c>
      <c r="C90" t="s">
        <v>13</v>
      </c>
      <c r="D90" s="5">
        <v>1.2636000000000001</v>
      </c>
    </row>
    <row r="91" spans="1:4" x14ac:dyDescent="0.35">
      <c r="A91" s="3">
        <v>45260</v>
      </c>
      <c r="B91" t="s">
        <v>61</v>
      </c>
      <c r="C91" t="s">
        <v>13</v>
      </c>
      <c r="D91" s="5">
        <v>0.2389</v>
      </c>
    </row>
    <row r="92" spans="1:4" x14ac:dyDescent="0.35">
      <c r="A92" s="3">
        <v>45291</v>
      </c>
      <c r="B92" t="s">
        <v>17</v>
      </c>
      <c r="C92" t="s">
        <v>13</v>
      </c>
      <c r="D92" s="5">
        <v>1.105</v>
      </c>
    </row>
    <row r="93" spans="1:4" x14ac:dyDescent="0.35">
      <c r="A93" s="3">
        <v>45291</v>
      </c>
      <c r="B93" t="s">
        <v>36</v>
      </c>
      <c r="C93" t="s">
        <v>13</v>
      </c>
      <c r="D93" s="5">
        <v>1.2732000000000001</v>
      </c>
    </row>
    <row r="94" spans="1:4" x14ac:dyDescent="0.35">
      <c r="A94" s="3">
        <v>45291</v>
      </c>
      <c r="B94" t="s">
        <v>61</v>
      </c>
      <c r="C94" t="s">
        <v>13</v>
      </c>
      <c r="D94" s="5">
        <v>0.25009999999999999</v>
      </c>
    </row>
    <row r="95" spans="1:4" x14ac:dyDescent="0.35">
      <c r="A95" s="3">
        <v>45322</v>
      </c>
      <c r="B95" t="s">
        <v>17</v>
      </c>
      <c r="C95" t="s">
        <v>13</v>
      </c>
      <c r="D95" s="5">
        <v>1.0835999999999999</v>
      </c>
    </row>
    <row r="96" spans="1:4" x14ac:dyDescent="0.35">
      <c r="A96" s="3">
        <v>45322</v>
      </c>
      <c r="B96" t="s">
        <v>36</v>
      </c>
      <c r="C96" t="s">
        <v>13</v>
      </c>
      <c r="D96" s="5">
        <v>1.2701</v>
      </c>
    </row>
    <row r="97" spans="1:4" x14ac:dyDescent="0.35">
      <c r="A97" s="3">
        <v>45322</v>
      </c>
      <c r="B97" t="s">
        <v>61</v>
      </c>
      <c r="C97" t="s">
        <v>13</v>
      </c>
      <c r="D97" s="5">
        <v>0.249</v>
      </c>
    </row>
    <row r="98" spans="1:4" x14ac:dyDescent="0.35">
      <c r="A98" s="3">
        <v>45351</v>
      </c>
      <c r="B98" t="s">
        <v>17</v>
      </c>
      <c r="C98" t="s">
        <v>13</v>
      </c>
      <c r="D98" s="5">
        <v>1.0833999999999999</v>
      </c>
    </row>
    <row r="99" spans="1:4" x14ac:dyDescent="0.35">
      <c r="A99" s="3">
        <v>45351</v>
      </c>
      <c r="B99" t="s">
        <v>36</v>
      </c>
      <c r="C99" t="s">
        <v>13</v>
      </c>
      <c r="D99" s="5">
        <v>1.2659</v>
      </c>
    </row>
    <row r="100" spans="1:4" x14ac:dyDescent="0.35">
      <c r="A100" s="3">
        <v>45351</v>
      </c>
      <c r="B100" t="s">
        <v>61</v>
      </c>
      <c r="C100" t="s">
        <v>13</v>
      </c>
      <c r="D100" s="5">
        <v>0.2477</v>
      </c>
    </row>
    <row r="101" spans="1:4" x14ac:dyDescent="0.35">
      <c r="A101" s="3">
        <v>45382</v>
      </c>
      <c r="B101" t="s">
        <v>17</v>
      </c>
      <c r="C101" t="s">
        <v>13</v>
      </c>
      <c r="D101" s="5">
        <v>1.0789</v>
      </c>
    </row>
    <row r="102" spans="1:4" x14ac:dyDescent="0.35">
      <c r="A102" s="3">
        <v>45382</v>
      </c>
      <c r="B102" t="s">
        <v>36</v>
      </c>
      <c r="C102" t="s">
        <v>13</v>
      </c>
      <c r="D102" s="5">
        <v>1.2629999999999999</v>
      </c>
    </row>
    <row r="103" spans="1:4" x14ac:dyDescent="0.35">
      <c r="A103" s="3">
        <v>45382</v>
      </c>
      <c r="B103" t="s">
        <v>61</v>
      </c>
      <c r="C103" t="s">
        <v>13</v>
      </c>
      <c r="D103" s="5">
        <v>0.25019999999999998</v>
      </c>
    </row>
    <row r="104" spans="1:4" x14ac:dyDescent="0.35">
      <c r="A104" s="3">
        <v>45412</v>
      </c>
      <c r="B104" t="s">
        <v>17</v>
      </c>
      <c r="C104" t="s">
        <v>13</v>
      </c>
      <c r="D104" s="5">
        <v>1.0707</v>
      </c>
    </row>
    <row r="105" spans="1:4" x14ac:dyDescent="0.35">
      <c r="A105" s="3">
        <v>45412</v>
      </c>
      <c r="B105" t="s">
        <v>36</v>
      </c>
      <c r="C105" t="s">
        <v>13</v>
      </c>
      <c r="D105" s="5">
        <v>1.2522</v>
      </c>
    </row>
    <row r="106" spans="1:4" x14ac:dyDescent="0.35">
      <c r="A106" s="3">
        <v>45412</v>
      </c>
      <c r="B106" t="s">
        <v>61</v>
      </c>
      <c r="C106" t="s">
        <v>13</v>
      </c>
      <c r="D106" s="5">
        <v>0.24540000000000001</v>
      </c>
    </row>
    <row r="107" spans="1:4" x14ac:dyDescent="0.35">
      <c r="A107" s="3">
        <v>45443</v>
      </c>
      <c r="B107" t="s">
        <v>17</v>
      </c>
      <c r="C107" t="s">
        <v>13</v>
      </c>
      <c r="D107" s="5">
        <v>1.0854999999999999</v>
      </c>
    </row>
    <row r="108" spans="1:4" x14ac:dyDescent="0.35">
      <c r="A108" s="3">
        <v>45443</v>
      </c>
      <c r="B108" t="s">
        <v>36</v>
      </c>
      <c r="C108" t="s">
        <v>13</v>
      </c>
      <c r="D108" s="5">
        <v>1.2747999999999999</v>
      </c>
    </row>
    <row r="109" spans="1:4" x14ac:dyDescent="0.35">
      <c r="A109" s="3">
        <v>45443</v>
      </c>
      <c r="B109" t="s">
        <v>61</v>
      </c>
      <c r="C109" t="s">
        <v>13</v>
      </c>
      <c r="D109" s="5">
        <v>0.25109999999999999</v>
      </c>
    </row>
    <row r="110" spans="1:4" x14ac:dyDescent="0.35">
      <c r="A110" s="3">
        <v>45473</v>
      </c>
      <c r="B110" t="s">
        <v>17</v>
      </c>
      <c r="C110" t="s">
        <v>13</v>
      </c>
      <c r="D110" s="5">
        <v>1.0711999999999999</v>
      </c>
    </row>
    <row r="111" spans="1:4" x14ac:dyDescent="0.35">
      <c r="A111" s="3">
        <v>45473</v>
      </c>
      <c r="B111" t="s">
        <v>36</v>
      </c>
      <c r="C111" t="s">
        <v>13</v>
      </c>
      <c r="D111" s="5">
        <v>1.2643</v>
      </c>
    </row>
    <row r="112" spans="1:4" x14ac:dyDescent="0.35">
      <c r="A112" s="3">
        <v>45473</v>
      </c>
      <c r="B112" t="s">
        <v>61</v>
      </c>
      <c r="C112" t="s">
        <v>13</v>
      </c>
      <c r="D112" s="5">
        <v>0.24879999999999999</v>
      </c>
    </row>
    <row r="113" spans="1:4" x14ac:dyDescent="0.35">
      <c r="A113" s="3">
        <v>45504</v>
      </c>
      <c r="B113" t="s">
        <v>17</v>
      </c>
      <c r="C113" t="s">
        <v>13</v>
      </c>
      <c r="D113" s="5">
        <v>1.0814999999999999</v>
      </c>
    </row>
    <row r="114" spans="1:4" x14ac:dyDescent="0.35">
      <c r="A114" s="3">
        <v>45504</v>
      </c>
      <c r="B114" t="s">
        <v>36</v>
      </c>
      <c r="C114" t="s">
        <v>13</v>
      </c>
      <c r="D114" s="5">
        <v>1.2838000000000001</v>
      </c>
    </row>
    <row r="115" spans="1:4" x14ac:dyDescent="0.35">
      <c r="A115" s="3">
        <v>45504</v>
      </c>
      <c r="B115" t="s">
        <v>61</v>
      </c>
      <c r="C115" t="s">
        <v>13</v>
      </c>
      <c r="D115" s="5">
        <v>0.25340000000000001</v>
      </c>
    </row>
    <row r="116" spans="1:4" x14ac:dyDescent="0.35">
      <c r="A116" s="3">
        <v>45535</v>
      </c>
      <c r="B116" t="s">
        <v>17</v>
      </c>
      <c r="C116" t="s">
        <v>13</v>
      </c>
      <c r="D116" s="5">
        <v>1.1042000000000001</v>
      </c>
    </row>
    <row r="117" spans="1:4" x14ac:dyDescent="0.35">
      <c r="A117" s="3">
        <v>45535</v>
      </c>
      <c r="B117" t="s">
        <v>36</v>
      </c>
      <c r="C117" t="s">
        <v>13</v>
      </c>
      <c r="D117" s="5">
        <v>1.3145</v>
      </c>
    </row>
    <row r="118" spans="1:4" x14ac:dyDescent="0.35">
      <c r="A118" s="3">
        <v>45535</v>
      </c>
      <c r="B118" t="s">
        <v>61</v>
      </c>
      <c r="C118" t="s">
        <v>13</v>
      </c>
      <c r="D118" s="5">
        <v>0.2601</v>
      </c>
    </row>
    <row r="119" spans="1:4" x14ac:dyDescent="0.35">
      <c r="A119" s="3">
        <v>45565</v>
      </c>
      <c r="B119" t="s">
        <v>17</v>
      </c>
      <c r="C119" t="s">
        <v>13</v>
      </c>
      <c r="D119" s="5">
        <v>1.1143000000000001</v>
      </c>
    </row>
    <row r="120" spans="1:4" x14ac:dyDescent="0.35">
      <c r="A120" s="3">
        <v>45565</v>
      </c>
      <c r="B120" t="s">
        <v>36</v>
      </c>
      <c r="C120" t="s">
        <v>13</v>
      </c>
      <c r="D120" s="5">
        <v>1.3388</v>
      </c>
    </row>
    <row r="121" spans="1:4" x14ac:dyDescent="0.35">
      <c r="A121" s="3">
        <v>45565</v>
      </c>
      <c r="B121" t="s">
        <v>61</v>
      </c>
      <c r="C121" t="s">
        <v>13</v>
      </c>
      <c r="D121" s="5">
        <v>0.26340000000000002</v>
      </c>
    </row>
  </sheetData>
  <dataValidations count="1">
    <dataValidation type="list" allowBlank="1" showInputMessage="1" showErrorMessage="1" sqref="B2:C121" xr:uid="{8CBF9039-CFD9-470B-8447-45C5071B43EC}">
      <formula1>"USD,EUR,GBP,PLN,EURO"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4D9B-3478-4EA4-A63E-0A6CBBA95D08}">
  <sheetPr>
    <tabColor rgb="FF375623"/>
  </sheetPr>
  <dimension ref="A1:K108"/>
  <sheetViews>
    <sheetView tabSelected="1" workbookViewId="0">
      <pane ySplit="1" topLeftCell="A2" activePane="bottomLeft" state="frozen"/>
      <selection pane="bottomLeft" activeCell="E111" sqref="E111"/>
    </sheetView>
  </sheetViews>
  <sheetFormatPr defaultRowHeight="14.5" x14ac:dyDescent="0.35"/>
  <cols>
    <col min="1" max="1" width="13.6328125" customWidth="1"/>
    <col min="2" max="3" width="11.81640625" customWidth="1"/>
    <col min="4" max="4" width="18.1796875" customWidth="1"/>
    <col min="5" max="6" width="21.81640625" customWidth="1"/>
    <col min="7" max="7" width="18.1796875" customWidth="1"/>
    <col min="8" max="8" width="20" customWidth="1"/>
    <col min="9" max="9" width="21.81640625" customWidth="1"/>
    <col min="10" max="10" width="18.1796875" customWidth="1"/>
    <col min="11" max="11" width="36.36328125" customWidth="1"/>
  </cols>
  <sheetData>
    <row r="1" spans="1:11" s="9" customFormat="1" ht="22" customHeight="1" x14ac:dyDescent="0.35">
      <c r="A1" s="7" t="s">
        <v>63</v>
      </c>
      <c r="B1" s="7" t="s">
        <v>0</v>
      </c>
      <c r="C1" s="7" t="s">
        <v>21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</row>
    <row r="2" spans="1:11" hidden="1" x14ac:dyDescent="0.35">
      <c r="A2" t="s">
        <v>72</v>
      </c>
      <c r="B2" t="s">
        <v>18</v>
      </c>
      <c r="C2" t="s">
        <v>32</v>
      </c>
      <c r="D2" s="3">
        <v>44454</v>
      </c>
      <c r="E2" t="s">
        <v>73</v>
      </c>
      <c r="F2" s="6">
        <v>25000000</v>
      </c>
      <c r="G2" t="s">
        <v>13</v>
      </c>
      <c r="H2" s="5">
        <v>1</v>
      </c>
      <c r="I2" s="6">
        <v>25000000</v>
      </c>
      <c r="J2" t="s">
        <v>74</v>
      </c>
      <c r="K2" t="s">
        <v>75</v>
      </c>
    </row>
    <row r="3" spans="1:11" hidden="1" x14ac:dyDescent="0.35">
      <c r="A3" t="s">
        <v>76</v>
      </c>
      <c r="B3" t="s">
        <v>18</v>
      </c>
      <c r="C3" t="s">
        <v>41</v>
      </c>
      <c r="D3" s="3">
        <v>44454</v>
      </c>
      <c r="E3" t="s">
        <v>73</v>
      </c>
      <c r="F3" s="6">
        <v>20000000</v>
      </c>
      <c r="G3" t="s">
        <v>13</v>
      </c>
      <c r="H3" s="5">
        <v>1</v>
      </c>
      <c r="I3" s="6">
        <v>20000000</v>
      </c>
      <c r="J3" t="s">
        <v>74</v>
      </c>
      <c r="K3" t="s">
        <v>75</v>
      </c>
    </row>
    <row r="4" spans="1:11" hidden="1" x14ac:dyDescent="0.35">
      <c r="A4" t="s">
        <v>77</v>
      </c>
      <c r="B4" t="s">
        <v>18</v>
      </c>
      <c r="C4" t="s">
        <v>44</v>
      </c>
      <c r="D4" s="3">
        <v>44454</v>
      </c>
      <c r="E4" t="s">
        <v>73</v>
      </c>
      <c r="F4" s="6">
        <v>18750000</v>
      </c>
      <c r="G4" t="s">
        <v>36</v>
      </c>
      <c r="H4" s="5">
        <v>1.3463000000000001</v>
      </c>
      <c r="I4" s="6">
        <v>25243125</v>
      </c>
      <c r="J4" t="s">
        <v>74</v>
      </c>
      <c r="K4" t="s">
        <v>75</v>
      </c>
    </row>
    <row r="5" spans="1:11" hidden="1" x14ac:dyDescent="0.35">
      <c r="A5" t="s">
        <v>78</v>
      </c>
      <c r="B5" t="s">
        <v>18</v>
      </c>
      <c r="C5" t="s">
        <v>32</v>
      </c>
      <c r="D5" s="3">
        <v>44469</v>
      </c>
      <c r="E5" t="s">
        <v>79</v>
      </c>
      <c r="F5" s="6">
        <v>93750</v>
      </c>
      <c r="G5" t="s">
        <v>13</v>
      </c>
      <c r="H5" s="5">
        <v>1</v>
      </c>
      <c r="I5" s="6">
        <v>93750</v>
      </c>
      <c r="J5" t="s">
        <v>80</v>
      </c>
      <c r="K5" t="s">
        <v>81</v>
      </c>
    </row>
    <row r="6" spans="1:11" hidden="1" x14ac:dyDescent="0.35">
      <c r="A6" t="s">
        <v>82</v>
      </c>
      <c r="B6" t="s">
        <v>18</v>
      </c>
      <c r="C6" t="s">
        <v>41</v>
      </c>
      <c r="D6" s="3">
        <v>44469</v>
      </c>
      <c r="E6" t="s">
        <v>79</v>
      </c>
      <c r="F6" s="6">
        <v>75000</v>
      </c>
      <c r="G6" t="s">
        <v>13</v>
      </c>
      <c r="H6" s="5">
        <v>1</v>
      </c>
      <c r="I6" s="6">
        <v>75000</v>
      </c>
      <c r="J6" t="s">
        <v>80</v>
      </c>
      <c r="K6" t="s">
        <v>81</v>
      </c>
    </row>
    <row r="7" spans="1:11" hidden="1" x14ac:dyDescent="0.35">
      <c r="A7" t="s">
        <v>83</v>
      </c>
      <c r="B7" t="s">
        <v>18</v>
      </c>
      <c r="C7" t="s">
        <v>44</v>
      </c>
      <c r="D7" s="3">
        <v>44469</v>
      </c>
      <c r="E7" t="s">
        <v>79</v>
      </c>
      <c r="F7" s="6">
        <v>70313</v>
      </c>
      <c r="G7" t="s">
        <v>36</v>
      </c>
      <c r="H7" s="5">
        <v>1.3463000000000001</v>
      </c>
      <c r="I7" s="6">
        <v>94650</v>
      </c>
      <c r="J7" t="s">
        <v>80</v>
      </c>
      <c r="K7" t="s">
        <v>81</v>
      </c>
    </row>
    <row r="8" spans="1:11" hidden="1" x14ac:dyDescent="0.35">
      <c r="A8" t="s">
        <v>84</v>
      </c>
      <c r="B8" t="s">
        <v>18</v>
      </c>
      <c r="C8" t="s">
        <v>32</v>
      </c>
      <c r="D8" s="3">
        <v>44531</v>
      </c>
      <c r="E8" t="s">
        <v>73</v>
      </c>
      <c r="F8" s="6">
        <v>30000000</v>
      </c>
      <c r="G8" t="s">
        <v>13</v>
      </c>
      <c r="H8" s="5">
        <v>1</v>
      </c>
      <c r="I8" s="6">
        <v>30000000</v>
      </c>
      <c r="J8" t="s">
        <v>74</v>
      </c>
      <c r="K8" t="s">
        <v>85</v>
      </c>
    </row>
    <row r="9" spans="1:11" hidden="1" x14ac:dyDescent="0.35">
      <c r="A9" t="s">
        <v>86</v>
      </c>
      <c r="B9" t="s">
        <v>18</v>
      </c>
      <c r="C9" t="s">
        <v>41</v>
      </c>
      <c r="D9" s="3">
        <v>44531</v>
      </c>
      <c r="E9" t="s">
        <v>73</v>
      </c>
      <c r="F9" s="6">
        <v>24000000</v>
      </c>
      <c r="G9" t="s">
        <v>13</v>
      </c>
      <c r="H9" s="5">
        <v>1</v>
      </c>
      <c r="I9" s="6">
        <v>24000000</v>
      </c>
      <c r="J9" t="s">
        <v>74</v>
      </c>
      <c r="K9" t="s">
        <v>85</v>
      </c>
    </row>
    <row r="10" spans="1:11" hidden="1" x14ac:dyDescent="0.35">
      <c r="A10" t="s">
        <v>87</v>
      </c>
      <c r="B10" t="s">
        <v>18</v>
      </c>
      <c r="C10" t="s">
        <v>44</v>
      </c>
      <c r="D10" s="3">
        <v>44531</v>
      </c>
      <c r="E10" t="s">
        <v>73</v>
      </c>
      <c r="F10" s="6">
        <v>22500000</v>
      </c>
      <c r="G10" t="s">
        <v>36</v>
      </c>
      <c r="H10" s="5">
        <v>1.3532999999999999</v>
      </c>
      <c r="I10" s="6">
        <v>30449250</v>
      </c>
      <c r="J10" t="s">
        <v>74</v>
      </c>
      <c r="K10" t="s">
        <v>85</v>
      </c>
    </row>
    <row r="11" spans="1:11" hidden="1" x14ac:dyDescent="0.35">
      <c r="A11" t="s">
        <v>88</v>
      </c>
      <c r="B11" t="s">
        <v>18</v>
      </c>
      <c r="C11" t="s">
        <v>32</v>
      </c>
      <c r="D11" s="3">
        <v>44561</v>
      </c>
      <c r="E11" t="s">
        <v>79</v>
      </c>
      <c r="F11" s="6">
        <v>93750</v>
      </c>
      <c r="G11" t="s">
        <v>13</v>
      </c>
      <c r="H11" s="5">
        <v>1</v>
      </c>
      <c r="I11" s="6">
        <v>93750</v>
      </c>
      <c r="J11" t="s">
        <v>80</v>
      </c>
      <c r="K11" t="s">
        <v>89</v>
      </c>
    </row>
    <row r="12" spans="1:11" hidden="1" x14ac:dyDescent="0.35">
      <c r="A12" t="s">
        <v>90</v>
      </c>
      <c r="B12" t="s">
        <v>18</v>
      </c>
      <c r="C12" t="s">
        <v>41</v>
      </c>
      <c r="D12" s="3">
        <v>44561</v>
      </c>
      <c r="E12" t="s">
        <v>79</v>
      </c>
      <c r="F12" s="6">
        <v>75000</v>
      </c>
      <c r="G12" t="s">
        <v>13</v>
      </c>
      <c r="H12" s="5">
        <v>1</v>
      </c>
      <c r="I12" s="6">
        <v>75000</v>
      </c>
      <c r="J12" t="s">
        <v>80</v>
      </c>
      <c r="K12" t="s">
        <v>89</v>
      </c>
    </row>
    <row r="13" spans="1:11" hidden="1" x14ac:dyDescent="0.35">
      <c r="A13" t="s">
        <v>91</v>
      </c>
      <c r="B13" t="s">
        <v>18</v>
      </c>
      <c r="C13" t="s">
        <v>44</v>
      </c>
      <c r="D13" s="3">
        <v>44561</v>
      </c>
      <c r="E13" t="s">
        <v>79</v>
      </c>
      <c r="F13" s="6">
        <v>70313</v>
      </c>
      <c r="G13" t="s">
        <v>36</v>
      </c>
      <c r="H13" s="5">
        <v>1.3532999999999999</v>
      </c>
      <c r="I13" s="6">
        <v>95199</v>
      </c>
      <c r="J13" t="s">
        <v>80</v>
      </c>
      <c r="K13" t="s">
        <v>89</v>
      </c>
    </row>
    <row r="14" spans="1:11" hidden="1" x14ac:dyDescent="0.35">
      <c r="A14" t="s">
        <v>92</v>
      </c>
      <c r="B14" t="s">
        <v>18</v>
      </c>
      <c r="C14" t="s">
        <v>32</v>
      </c>
      <c r="D14" s="3">
        <v>44561</v>
      </c>
      <c r="E14" t="s">
        <v>93</v>
      </c>
      <c r="F14" s="6">
        <v>15000</v>
      </c>
      <c r="G14" t="s">
        <v>13</v>
      </c>
      <c r="H14" s="5">
        <v>1</v>
      </c>
      <c r="I14" s="6">
        <v>15000</v>
      </c>
      <c r="J14" t="s">
        <v>94</v>
      </c>
      <c r="K14" t="s">
        <v>95</v>
      </c>
    </row>
    <row r="15" spans="1:11" x14ac:dyDescent="0.35">
      <c r="A15" t="s">
        <v>96</v>
      </c>
      <c r="B15" t="s">
        <v>10</v>
      </c>
      <c r="C15" t="s">
        <v>27</v>
      </c>
      <c r="D15" s="3">
        <v>44652</v>
      </c>
      <c r="E15" t="s">
        <v>73</v>
      </c>
      <c r="F15" s="6">
        <v>52500000</v>
      </c>
      <c r="G15" t="s">
        <v>17</v>
      </c>
      <c r="H15" s="5">
        <v>1.0541</v>
      </c>
      <c r="I15" s="6">
        <v>55340475</v>
      </c>
      <c r="J15" t="s">
        <v>74</v>
      </c>
      <c r="K15" t="s">
        <v>97</v>
      </c>
    </row>
    <row r="16" spans="1:11" hidden="1" x14ac:dyDescent="0.35">
      <c r="A16" t="s">
        <v>98</v>
      </c>
      <c r="B16" t="s">
        <v>10</v>
      </c>
      <c r="C16" t="s">
        <v>32</v>
      </c>
      <c r="D16" s="3">
        <v>44652</v>
      </c>
      <c r="E16" t="s">
        <v>73</v>
      </c>
      <c r="F16" s="6">
        <v>60000000</v>
      </c>
      <c r="G16" t="s">
        <v>36</v>
      </c>
      <c r="H16" s="5">
        <v>1.2566999999999999</v>
      </c>
      <c r="I16" s="6">
        <v>75402000</v>
      </c>
      <c r="J16" t="s">
        <v>74</v>
      </c>
      <c r="K16" t="s">
        <v>97</v>
      </c>
    </row>
    <row r="17" spans="1:11" hidden="1" x14ac:dyDescent="0.35">
      <c r="A17" t="s">
        <v>99</v>
      </c>
      <c r="B17" t="s">
        <v>10</v>
      </c>
      <c r="C17" t="s">
        <v>37</v>
      </c>
      <c r="D17" s="3">
        <v>44652</v>
      </c>
      <c r="E17" t="s">
        <v>73</v>
      </c>
      <c r="F17" s="6">
        <v>42000000</v>
      </c>
      <c r="G17" t="s">
        <v>17</v>
      </c>
      <c r="H17" s="5">
        <v>1.0541</v>
      </c>
      <c r="I17" s="6">
        <v>44272200</v>
      </c>
      <c r="J17" t="s">
        <v>74</v>
      </c>
      <c r="K17" t="s">
        <v>97</v>
      </c>
    </row>
    <row r="18" spans="1:11" hidden="1" x14ac:dyDescent="0.35">
      <c r="A18" t="s">
        <v>100</v>
      </c>
      <c r="B18" t="s">
        <v>10</v>
      </c>
      <c r="C18" t="s">
        <v>41</v>
      </c>
      <c r="D18" s="3">
        <v>44652</v>
      </c>
      <c r="E18" t="s">
        <v>73</v>
      </c>
      <c r="F18" s="6">
        <v>37500000</v>
      </c>
      <c r="G18" t="s">
        <v>13</v>
      </c>
      <c r="H18" s="5">
        <v>1</v>
      </c>
      <c r="I18" s="6">
        <v>37500000</v>
      </c>
      <c r="J18" t="s">
        <v>74</v>
      </c>
      <c r="K18" t="s">
        <v>97</v>
      </c>
    </row>
    <row r="19" spans="1:11" hidden="1" x14ac:dyDescent="0.35">
      <c r="A19" t="s">
        <v>101</v>
      </c>
      <c r="B19" t="s">
        <v>10</v>
      </c>
      <c r="C19" t="s">
        <v>44</v>
      </c>
      <c r="D19" s="3">
        <v>44652</v>
      </c>
      <c r="E19" t="s">
        <v>73</v>
      </c>
      <c r="F19" s="6">
        <v>36750000</v>
      </c>
      <c r="G19" t="s">
        <v>13</v>
      </c>
      <c r="H19" s="5">
        <v>1</v>
      </c>
      <c r="I19" s="6">
        <v>36750000</v>
      </c>
      <c r="J19" t="s">
        <v>74</v>
      </c>
      <c r="K19" t="s">
        <v>97</v>
      </c>
    </row>
    <row r="20" spans="1:11" x14ac:dyDescent="0.35">
      <c r="A20" t="s">
        <v>102</v>
      </c>
      <c r="B20" t="s">
        <v>10</v>
      </c>
      <c r="C20" t="s">
        <v>27</v>
      </c>
      <c r="D20" s="3">
        <v>44651</v>
      </c>
      <c r="E20" t="s">
        <v>79</v>
      </c>
      <c r="F20" s="6">
        <v>1750000</v>
      </c>
      <c r="G20" t="s">
        <v>17</v>
      </c>
      <c r="H20" s="5">
        <v>1.1073</v>
      </c>
      <c r="I20" s="6">
        <v>1937775</v>
      </c>
      <c r="J20" t="s">
        <v>80</v>
      </c>
      <c r="K20" t="s">
        <v>103</v>
      </c>
    </row>
    <row r="21" spans="1:11" hidden="1" x14ac:dyDescent="0.35">
      <c r="A21" t="s">
        <v>104</v>
      </c>
      <c r="B21" t="s">
        <v>10</v>
      </c>
      <c r="C21" t="s">
        <v>32</v>
      </c>
      <c r="D21" s="3">
        <v>44651</v>
      </c>
      <c r="E21" t="s">
        <v>79</v>
      </c>
      <c r="F21" s="6">
        <v>2000000</v>
      </c>
      <c r="G21" t="s">
        <v>36</v>
      </c>
      <c r="H21" s="5">
        <v>1.3140000000000001</v>
      </c>
      <c r="I21" s="6">
        <v>2628000</v>
      </c>
      <c r="J21" t="s">
        <v>80</v>
      </c>
      <c r="K21" t="s">
        <v>103</v>
      </c>
    </row>
    <row r="22" spans="1:11" hidden="1" x14ac:dyDescent="0.35">
      <c r="A22" t="s">
        <v>105</v>
      </c>
      <c r="B22" t="s">
        <v>10</v>
      </c>
      <c r="C22" t="s">
        <v>37</v>
      </c>
      <c r="D22" s="3">
        <v>44651</v>
      </c>
      <c r="E22" t="s">
        <v>79</v>
      </c>
      <c r="F22" s="6">
        <v>1400000</v>
      </c>
      <c r="G22" t="s">
        <v>17</v>
      </c>
      <c r="H22" s="5">
        <v>1.1073</v>
      </c>
      <c r="I22" s="6">
        <v>1550220</v>
      </c>
      <c r="J22" t="s">
        <v>80</v>
      </c>
      <c r="K22" t="s">
        <v>103</v>
      </c>
    </row>
    <row r="23" spans="1:11" hidden="1" x14ac:dyDescent="0.35">
      <c r="A23" t="s">
        <v>106</v>
      </c>
      <c r="B23" t="s">
        <v>10</v>
      </c>
      <c r="C23" t="s">
        <v>41</v>
      </c>
      <c r="D23" s="3">
        <v>44651</v>
      </c>
      <c r="E23" t="s">
        <v>79</v>
      </c>
      <c r="F23" s="6">
        <v>1250000</v>
      </c>
      <c r="G23" t="s">
        <v>13</v>
      </c>
      <c r="H23" s="5">
        <v>1</v>
      </c>
      <c r="I23" s="6">
        <v>1250000</v>
      </c>
      <c r="J23" t="s">
        <v>80</v>
      </c>
      <c r="K23" t="s">
        <v>103</v>
      </c>
    </row>
    <row r="24" spans="1:11" hidden="1" x14ac:dyDescent="0.35">
      <c r="A24" t="s">
        <v>107</v>
      </c>
      <c r="B24" t="s">
        <v>10</v>
      </c>
      <c r="C24" t="s">
        <v>44</v>
      </c>
      <c r="D24" s="3">
        <v>44651</v>
      </c>
      <c r="E24" t="s">
        <v>79</v>
      </c>
      <c r="F24" s="6">
        <v>1225000</v>
      </c>
      <c r="G24" t="s">
        <v>13</v>
      </c>
      <c r="H24" s="5">
        <v>1</v>
      </c>
      <c r="I24" s="6">
        <v>1225000</v>
      </c>
      <c r="J24" t="s">
        <v>80</v>
      </c>
      <c r="K24" t="s">
        <v>103</v>
      </c>
    </row>
    <row r="25" spans="1:11" hidden="1" x14ac:dyDescent="0.35">
      <c r="A25" t="s">
        <v>108</v>
      </c>
      <c r="B25" t="s">
        <v>18</v>
      </c>
      <c r="C25" t="s">
        <v>32</v>
      </c>
      <c r="D25" s="3">
        <v>44651</v>
      </c>
      <c r="E25" t="s">
        <v>79</v>
      </c>
      <c r="F25" s="6">
        <v>93750</v>
      </c>
      <c r="G25" t="s">
        <v>13</v>
      </c>
      <c r="H25" s="5">
        <v>1</v>
      </c>
      <c r="I25" s="6">
        <v>93750</v>
      </c>
      <c r="J25" t="s">
        <v>80</v>
      </c>
      <c r="K25" t="s">
        <v>103</v>
      </c>
    </row>
    <row r="26" spans="1:11" hidden="1" x14ac:dyDescent="0.35">
      <c r="A26" t="s">
        <v>109</v>
      </c>
      <c r="B26" t="s">
        <v>18</v>
      </c>
      <c r="C26" t="s">
        <v>41</v>
      </c>
      <c r="D26" s="3">
        <v>44651</v>
      </c>
      <c r="E26" t="s">
        <v>79</v>
      </c>
      <c r="F26" s="6">
        <v>75000</v>
      </c>
      <c r="G26" t="s">
        <v>13</v>
      </c>
      <c r="H26" s="5">
        <v>1</v>
      </c>
      <c r="I26" s="6">
        <v>75000</v>
      </c>
      <c r="J26" t="s">
        <v>80</v>
      </c>
      <c r="K26" t="s">
        <v>103</v>
      </c>
    </row>
    <row r="27" spans="1:11" hidden="1" x14ac:dyDescent="0.35">
      <c r="A27" t="s">
        <v>110</v>
      </c>
      <c r="B27" t="s">
        <v>18</v>
      </c>
      <c r="C27" t="s">
        <v>44</v>
      </c>
      <c r="D27" s="3">
        <v>44651</v>
      </c>
      <c r="E27" t="s">
        <v>79</v>
      </c>
      <c r="F27" s="6">
        <v>70313</v>
      </c>
      <c r="G27" t="s">
        <v>36</v>
      </c>
      <c r="H27" s="5">
        <v>1.3140000000000001</v>
      </c>
      <c r="I27" s="6">
        <v>92391</v>
      </c>
      <c r="J27" t="s">
        <v>80</v>
      </c>
      <c r="K27" t="s">
        <v>103</v>
      </c>
    </row>
    <row r="28" spans="1:11" x14ac:dyDescent="0.35">
      <c r="A28" t="s">
        <v>111</v>
      </c>
      <c r="B28" t="s">
        <v>10</v>
      </c>
      <c r="C28" t="s">
        <v>27</v>
      </c>
      <c r="D28" s="3">
        <v>44743</v>
      </c>
      <c r="E28" t="s">
        <v>73</v>
      </c>
      <c r="F28" s="6">
        <v>52500000</v>
      </c>
      <c r="G28" t="s">
        <v>17</v>
      </c>
      <c r="H28" s="5">
        <v>1.0218</v>
      </c>
      <c r="I28" s="6">
        <v>53644950</v>
      </c>
      <c r="J28" t="s">
        <v>74</v>
      </c>
      <c r="K28" t="s">
        <v>112</v>
      </c>
    </row>
    <row r="29" spans="1:11" hidden="1" x14ac:dyDescent="0.35">
      <c r="A29" t="s">
        <v>113</v>
      </c>
      <c r="B29" t="s">
        <v>10</v>
      </c>
      <c r="C29" t="s">
        <v>32</v>
      </c>
      <c r="D29" s="3">
        <v>44743</v>
      </c>
      <c r="E29" t="s">
        <v>73</v>
      </c>
      <c r="F29" s="6">
        <v>60000000</v>
      </c>
      <c r="G29" t="s">
        <v>36</v>
      </c>
      <c r="H29" s="5">
        <v>1.2179</v>
      </c>
      <c r="I29" s="6">
        <v>73074000</v>
      </c>
      <c r="J29" t="s">
        <v>74</v>
      </c>
      <c r="K29" t="s">
        <v>112</v>
      </c>
    </row>
    <row r="30" spans="1:11" hidden="1" x14ac:dyDescent="0.35">
      <c r="A30" t="s">
        <v>114</v>
      </c>
      <c r="B30" t="s">
        <v>10</v>
      </c>
      <c r="C30" t="s">
        <v>37</v>
      </c>
      <c r="D30" s="3">
        <v>44743</v>
      </c>
      <c r="E30" t="s">
        <v>73</v>
      </c>
      <c r="F30" s="6">
        <v>42000000</v>
      </c>
      <c r="G30" t="s">
        <v>17</v>
      </c>
      <c r="H30" s="5">
        <v>1.0218</v>
      </c>
      <c r="I30" s="6">
        <v>42915600</v>
      </c>
      <c r="J30" t="s">
        <v>74</v>
      </c>
      <c r="K30" t="s">
        <v>112</v>
      </c>
    </row>
    <row r="31" spans="1:11" hidden="1" x14ac:dyDescent="0.35">
      <c r="A31" t="s">
        <v>115</v>
      </c>
      <c r="B31" t="s">
        <v>10</v>
      </c>
      <c r="C31" t="s">
        <v>44</v>
      </c>
      <c r="D31" s="3">
        <v>44743</v>
      </c>
      <c r="E31" t="s">
        <v>73</v>
      </c>
      <c r="F31" s="6">
        <v>36750000</v>
      </c>
      <c r="G31" t="s">
        <v>13</v>
      </c>
      <c r="H31" s="5">
        <v>1</v>
      </c>
      <c r="I31" s="6">
        <v>36750000</v>
      </c>
      <c r="J31" t="s">
        <v>74</v>
      </c>
      <c r="K31" t="s">
        <v>112</v>
      </c>
    </row>
    <row r="32" spans="1:11" x14ac:dyDescent="0.35">
      <c r="A32" t="s">
        <v>116</v>
      </c>
      <c r="B32" t="s">
        <v>10</v>
      </c>
      <c r="C32" t="s">
        <v>27</v>
      </c>
      <c r="D32" s="3">
        <v>44742</v>
      </c>
      <c r="E32" t="s">
        <v>79</v>
      </c>
      <c r="F32" s="6">
        <v>1750000</v>
      </c>
      <c r="G32" t="s">
        <v>17</v>
      </c>
      <c r="H32" s="5">
        <v>1.048</v>
      </c>
      <c r="I32" s="6">
        <v>1834000</v>
      </c>
      <c r="J32" t="s">
        <v>80</v>
      </c>
      <c r="K32" t="s">
        <v>117</v>
      </c>
    </row>
    <row r="33" spans="1:11" hidden="1" x14ac:dyDescent="0.35">
      <c r="A33" t="s">
        <v>118</v>
      </c>
      <c r="B33" t="s">
        <v>10</v>
      </c>
      <c r="C33" t="s">
        <v>32</v>
      </c>
      <c r="D33" s="3">
        <v>44742</v>
      </c>
      <c r="E33" t="s">
        <v>79</v>
      </c>
      <c r="F33" s="6">
        <v>2000000</v>
      </c>
      <c r="G33" t="s">
        <v>36</v>
      </c>
      <c r="H33" s="5">
        <v>1.2166999999999999</v>
      </c>
      <c r="I33" s="6">
        <v>2433400</v>
      </c>
      <c r="J33" t="s">
        <v>80</v>
      </c>
      <c r="K33" t="s">
        <v>117</v>
      </c>
    </row>
    <row r="34" spans="1:11" hidden="1" x14ac:dyDescent="0.35">
      <c r="A34" t="s">
        <v>119</v>
      </c>
      <c r="B34" t="s">
        <v>10</v>
      </c>
      <c r="C34" t="s">
        <v>37</v>
      </c>
      <c r="D34" s="3">
        <v>44742</v>
      </c>
      <c r="E34" t="s">
        <v>79</v>
      </c>
      <c r="F34" s="6">
        <v>1400000</v>
      </c>
      <c r="G34" t="s">
        <v>17</v>
      </c>
      <c r="H34" s="5">
        <v>1.048</v>
      </c>
      <c r="I34" s="6">
        <v>1467200</v>
      </c>
      <c r="J34" t="s">
        <v>80</v>
      </c>
      <c r="K34" t="s">
        <v>117</v>
      </c>
    </row>
    <row r="35" spans="1:11" hidden="1" x14ac:dyDescent="0.35">
      <c r="A35" t="s">
        <v>120</v>
      </c>
      <c r="B35" t="s">
        <v>10</v>
      </c>
      <c r="C35" t="s">
        <v>44</v>
      </c>
      <c r="D35" s="3">
        <v>44742</v>
      </c>
      <c r="E35" t="s">
        <v>79</v>
      </c>
      <c r="F35" s="6">
        <v>1225000</v>
      </c>
      <c r="G35" t="s">
        <v>13</v>
      </c>
      <c r="H35" s="5">
        <v>1</v>
      </c>
      <c r="I35" s="6">
        <v>1225000</v>
      </c>
      <c r="J35" t="s">
        <v>80</v>
      </c>
      <c r="K35" t="s">
        <v>117</v>
      </c>
    </row>
    <row r="36" spans="1:11" hidden="1" x14ac:dyDescent="0.35">
      <c r="A36" t="s">
        <v>121</v>
      </c>
      <c r="B36" t="s">
        <v>18</v>
      </c>
      <c r="C36" t="s">
        <v>32</v>
      </c>
      <c r="D36" s="3">
        <v>44742</v>
      </c>
      <c r="E36" t="s">
        <v>79</v>
      </c>
      <c r="F36" s="6">
        <v>93750</v>
      </c>
      <c r="G36" t="s">
        <v>13</v>
      </c>
      <c r="H36" s="5">
        <v>1</v>
      </c>
      <c r="I36" s="6">
        <v>93750</v>
      </c>
      <c r="J36" t="s">
        <v>80</v>
      </c>
      <c r="K36" t="s">
        <v>117</v>
      </c>
    </row>
    <row r="37" spans="1:11" hidden="1" x14ac:dyDescent="0.35">
      <c r="A37" t="s">
        <v>122</v>
      </c>
      <c r="B37" t="s">
        <v>18</v>
      </c>
      <c r="C37" t="s">
        <v>41</v>
      </c>
      <c r="D37" s="3">
        <v>44742</v>
      </c>
      <c r="E37" t="s">
        <v>79</v>
      </c>
      <c r="F37" s="6">
        <v>75000</v>
      </c>
      <c r="G37" t="s">
        <v>13</v>
      </c>
      <c r="H37" s="5">
        <v>1</v>
      </c>
      <c r="I37" s="6">
        <v>75000</v>
      </c>
      <c r="J37" t="s">
        <v>80</v>
      </c>
      <c r="K37" t="s">
        <v>117</v>
      </c>
    </row>
    <row r="38" spans="1:11" hidden="1" x14ac:dyDescent="0.35">
      <c r="A38" t="s">
        <v>123</v>
      </c>
      <c r="B38" t="s">
        <v>18</v>
      </c>
      <c r="C38" t="s">
        <v>44</v>
      </c>
      <c r="D38" s="3">
        <v>44742</v>
      </c>
      <c r="E38" t="s">
        <v>79</v>
      </c>
      <c r="F38" s="6">
        <v>70313</v>
      </c>
      <c r="G38" t="s">
        <v>36</v>
      </c>
      <c r="H38" s="5">
        <v>1.2166999999999999</v>
      </c>
      <c r="I38" s="6">
        <v>85538</v>
      </c>
      <c r="J38" t="s">
        <v>80</v>
      </c>
      <c r="K38" t="s">
        <v>117</v>
      </c>
    </row>
    <row r="39" spans="1:11" hidden="1" x14ac:dyDescent="0.35">
      <c r="A39" t="s">
        <v>124</v>
      </c>
      <c r="B39" t="s">
        <v>18</v>
      </c>
      <c r="C39" t="s">
        <v>32</v>
      </c>
      <c r="D39" s="3">
        <v>44805</v>
      </c>
      <c r="E39" t="s">
        <v>73</v>
      </c>
      <c r="F39" s="6">
        <v>-20000000</v>
      </c>
      <c r="G39" t="s">
        <v>13</v>
      </c>
      <c r="H39" s="5">
        <v>1</v>
      </c>
      <c r="I39" s="6">
        <v>-20000000</v>
      </c>
      <c r="J39" t="s">
        <v>74</v>
      </c>
      <c r="K39" t="s">
        <v>125</v>
      </c>
    </row>
    <row r="40" spans="1:11" hidden="1" x14ac:dyDescent="0.35">
      <c r="A40" t="s">
        <v>126</v>
      </c>
      <c r="B40" t="s">
        <v>18</v>
      </c>
      <c r="C40" t="s">
        <v>41</v>
      </c>
      <c r="D40" s="3">
        <v>44805</v>
      </c>
      <c r="E40" t="s">
        <v>73</v>
      </c>
      <c r="F40" s="6">
        <v>16000000</v>
      </c>
      <c r="G40" t="s">
        <v>13</v>
      </c>
      <c r="H40" s="5">
        <v>1</v>
      </c>
      <c r="I40" s="6">
        <v>16000000</v>
      </c>
      <c r="J40" t="s">
        <v>74</v>
      </c>
      <c r="K40" t="s">
        <v>127</v>
      </c>
    </row>
    <row r="41" spans="1:11" hidden="1" x14ac:dyDescent="0.35">
      <c r="A41" t="s">
        <v>128</v>
      </c>
      <c r="B41" t="s">
        <v>18</v>
      </c>
      <c r="C41" t="s">
        <v>44</v>
      </c>
      <c r="D41" s="3">
        <v>44805</v>
      </c>
      <c r="E41" t="s">
        <v>73</v>
      </c>
      <c r="F41" s="6">
        <v>15000000</v>
      </c>
      <c r="G41" t="s">
        <v>36</v>
      </c>
      <c r="H41" s="5">
        <v>1.1157999999999999</v>
      </c>
      <c r="I41" s="6">
        <v>16737000</v>
      </c>
      <c r="J41" t="s">
        <v>74</v>
      </c>
      <c r="K41" t="s">
        <v>127</v>
      </c>
    </row>
    <row r="42" spans="1:11" hidden="1" x14ac:dyDescent="0.35">
      <c r="A42" t="s">
        <v>129</v>
      </c>
      <c r="B42" t="s">
        <v>18</v>
      </c>
      <c r="C42" t="s">
        <v>32</v>
      </c>
      <c r="D42" s="3">
        <v>44834</v>
      </c>
      <c r="E42" t="s">
        <v>79</v>
      </c>
      <c r="F42" s="6">
        <v>93750</v>
      </c>
      <c r="G42" t="s">
        <v>13</v>
      </c>
      <c r="H42" s="5">
        <v>1</v>
      </c>
      <c r="I42" s="6">
        <v>93750</v>
      </c>
      <c r="J42" t="s">
        <v>80</v>
      </c>
      <c r="K42" t="s">
        <v>130</v>
      </c>
    </row>
    <row r="43" spans="1:11" hidden="1" x14ac:dyDescent="0.35">
      <c r="A43" t="s">
        <v>131</v>
      </c>
      <c r="B43" t="s">
        <v>18</v>
      </c>
      <c r="C43" t="s">
        <v>41</v>
      </c>
      <c r="D43" s="3">
        <v>44834</v>
      </c>
      <c r="E43" t="s">
        <v>79</v>
      </c>
      <c r="F43" s="6">
        <v>75000</v>
      </c>
      <c r="G43" t="s">
        <v>13</v>
      </c>
      <c r="H43" s="5">
        <v>1</v>
      </c>
      <c r="I43" s="6">
        <v>75000</v>
      </c>
      <c r="J43" t="s">
        <v>80</v>
      </c>
      <c r="K43" t="s">
        <v>130</v>
      </c>
    </row>
    <row r="44" spans="1:11" hidden="1" x14ac:dyDescent="0.35">
      <c r="A44" t="s">
        <v>132</v>
      </c>
      <c r="B44" t="s">
        <v>18</v>
      </c>
      <c r="C44" t="s">
        <v>44</v>
      </c>
      <c r="D44" s="3">
        <v>44834</v>
      </c>
      <c r="E44" t="s">
        <v>79</v>
      </c>
      <c r="F44" s="6">
        <v>70313</v>
      </c>
      <c r="G44" t="s">
        <v>36</v>
      </c>
      <c r="H44" s="5">
        <v>1.1157999999999999</v>
      </c>
      <c r="I44" s="6">
        <v>78464</v>
      </c>
      <c r="J44" t="s">
        <v>80</v>
      </c>
      <c r="K44" t="s">
        <v>130</v>
      </c>
    </row>
    <row r="45" spans="1:11" x14ac:dyDescent="0.35">
      <c r="A45" t="s">
        <v>133</v>
      </c>
      <c r="B45" t="s">
        <v>10</v>
      </c>
      <c r="C45" t="s">
        <v>27</v>
      </c>
      <c r="D45" s="3">
        <v>44834</v>
      </c>
      <c r="E45" t="s">
        <v>79</v>
      </c>
      <c r="F45" s="6">
        <v>1750000</v>
      </c>
      <c r="G45" t="s">
        <v>17</v>
      </c>
      <c r="H45" s="5">
        <v>0.97960000000000003</v>
      </c>
      <c r="I45" s="6">
        <v>1714300</v>
      </c>
      <c r="J45" t="s">
        <v>80</v>
      </c>
      <c r="K45" t="s">
        <v>130</v>
      </c>
    </row>
    <row r="46" spans="1:11" hidden="1" x14ac:dyDescent="0.35">
      <c r="A46" t="s">
        <v>134</v>
      </c>
      <c r="B46" t="s">
        <v>10</v>
      </c>
      <c r="C46" t="s">
        <v>32</v>
      </c>
      <c r="D46" s="3">
        <v>44834</v>
      </c>
      <c r="E46" t="s">
        <v>79</v>
      </c>
      <c r="F46" s="6">
        <v>2000000</v>
      </c>
      <c r="G46" t="s">
        <v>36</v>
      </c>
      <c r="H46" s="5">
        <v>1.1157999999999999</v>
      </c>
      <c r="I46" s="6">
        <v>2231600</v>
      </c>
      <c r="J46" t="s">
        <v>80</v>
      </c>
      <c r="K46" t="s">
        <v>130</v>
      </c>
    </row>
    <row r="47" spans="1:11" hidden="1" x14ac:dyDescent="0.35">
      <c r="A47" t="s">
        <v>135</v>
      </c>
      <c r="B47" t="s">
        <v>10</v>
      </c>
      <c r="C47" t="s">
        <v>37</v>
      </c>
      <c r="D47" s="3">
        <v>44834</v>
      </c>
      <c r="E47" t="s">
        <v>79</v>
      </c>
      <c r="F47" s="6">
        <v>1400000</v>
      </c>
      <c r="G47" t="s">
        <v>17</v>
      </c>
      <c r="H47" s="5">
        <v>0.97960000000000003</v>
      </c>
      <c r="I47" s="6">
        <v>1371440</v>
      </c>
      <c r="J47" t="s">
        <v>80</v>
      </c>
      <c r="K47" t="s">
        <v>130</v>
      </c>
    </row>
    <row r="48" spans="1:11" hidden="1" x14ac:dyDescent="0.35">
      <c r="A48" t="s">
        <v>136</v>
      </c>
      <c r="B48" t="s">
        <v>10</v>
      </c>
      <c r="C48" t="s">
        <v>44</v>
      </c>
      <c r="D48" s="3">
        <v>44834</v>
      </c>
      <c r="E48" t="s">
        <v>79</v>
      </c>
      <c r="F48" s="6">
        <v>1225000</v>
      </c>
      <c r="G48" t="s">
        <v>13</v>
      </c>
      <c r="H48" s="5">
        <v>1</v>
      </c>
      <c r="I48" s="6">
        <v>1225000</v>
      </c>
      <c r="J48" t="s">
        <v>80</v>
      </c>
      <c r="K48" t="s">
        <v>130</v>
      </c>
    </row>
    <row r="49" spans="1:11" hidden="1" x14ac:dyDescent="0.35">
      <c r="A49" t="s">
        <v>137</v>
      </c>
      <c r="B49" t="s">
        <v>10</v>
      </c>
      <c r="C49" t="s">
        <v>37</v>
      </c>
      <c r="D49" s="3">
        <v>44837</v>
      </c>
      <c r="E49" t="s">
        <v>73</v>
      </c>
      <c r="F49" s="6">
        <v>42000000</v>
      </c>
      <c r="G49" t="s">
        <v>17</v>
      </c>
      <c r="H49" s="5">
        <v>1.0338000000000001</v>
      </c>
      <c r="I49" s="6">
        <v>41500000</v>
      </c>
      <c r="J49" t="s">
        <v>74</v>
      </c>
      <c r="K49" t="s">
        <v>138</v>
      </c>
    </row>
    <row r="50" spans="1:11" hidden="1" x14ac:dyDescent="0.35">
      <c r="A50" t="s">
        <v>139</v>
      </c>
      <c r="B50" t="s">
        <v>18</v>
      </c>
      <c r="C50" t="s">
        <v>32</v>
      </c>
      <c r="D50" s="3">
        <v>44926</v>
      </c>
      <c r="E50" t="s">
        <v>79</v>
      </c>
      <c r="F50" s="6">
        <v>93750</v>
      </c>
      <c r="G50" t="s">
        <v>13</v>
      </c>
      <c r="H50" s="5">
        <v>1</v>
      </c>
      <c r="I50" s="6">
        <v>93750</v>
      </c>
      <c r="J50" t="s">
        <v>80</v>
      </c>
      <c r="K50" t="s">
        <v>140</v>
      </c>
    </row>
    <row r="51" spans="1:11" hidden="1" x14ac:dyDescent="0.35">
      <c r="A51" t="s">
        <v>141</v>
      </c>
      <c r="B51" t="s">
        <v>18</v>
      </c>
      <c r="C51" t="s">
        <v>41</v>
      </c>
      <c r="D51" s="3">
        <v>44926</v>
      </c>
      <c r="E51" t="s">
        <v>79</v>
      </c>
      <c r="F51" s="6">
        <v>75000</v>
      </c>
      <c r="G51" t="s">
        <v>13</v>
      </c>
      <c r="H51" s="5">
        <v>1</v>
      </c>
      <c r="I51" s="6">
        <v>75000</v>
      </c>
      <c r="J51" t="s">
        <v>80</v>
      </c>
      <c r="K51" t="s">
        <v>140</v>
      </c>
    </row>
    <row r="52" spans="1:11" hidden="1" x14ac:dyDescent="0.35">
      <c r="A52" t="s">
        <v>142</v>
      </c>
      <c r="B52" t="s">
        <v>18</v>
      </c>
      <c r="C52" t="s">
        <v>44</v>
      </c>
      <c r="D52" s="3">
        <v>44926</v>
      </c>
      <c r="E52" t="s">
        <v>79</v>
      </c>
      <c r="F52" s="6">
        <v>70313</v>
      </c>
      <c r="G52" t="s">
        <v>36</v>
      </c>
      <c r="H52" s="5">
        <v>1.2099</v>
      </c>
      <c r="I52" s="6">
        <v>85065</v>
      </c>
      <c r="J52" t="s">
        <v>80</v>
      </c>
      <c r="K52" t="s">
        <v>140</v>
      </c>
    </row>
    <row r="53" spans="1:11" x14ac:dyDescent="0.35">
      <c r="A53" t="s">
        <v>143</v>
      </c>
      <c r="B53" t="s">
        <v>10</v>
      </c>
      <c r="C53" t="s">
        <v>27</v>
      </c>
      <c r="D53" s="3">
        <v>44926</v>
      </c>
      <c r="E53" t="s">
        <v>79</v>
      </c>
      <c r="F53" s="6">
        <v>1750000</v>
      </c>
      <c r="G53" t="s">
        <v>17</v>
      </c>
      <c r="H53" s="5">
        <v>1.0705</v>
      </c>
      <c r="I53" s="6">
        <v>1873375</v>
      </c>
      <c r="J53" t="s">
        <v>80</v>
      </c>
      <c r="K53" t="s">
        <v>140</v>
      </c>
    </row>
    <row r="54" spans="1:11" hidden="1" x14ac:dyDescent="0.35">
      <c r="A54" t="s">
        <v>144</v>
      </c>
      <c r="B54" t="s">
        <v>10</v>
      </c>
      <c r="C54" t="s">
        <v>32</v>
      </c>
      <c r="D54" s="3">
        <v>44926</v>
      </c>
      <c r="E54" t="s">
        <v>79</v>
      </c>
      <c r="F54" s="6">
        <v>2000000</v>
      </c>
      <c r="G54" t="s">
        <v>36</v>
      </c>
      <c r="H54" s="5">
        <v>1.2099</v>
      </c>
      <c r="I54" s="6">
        <v>2419800</v>
      </c>
      <c r="J54" t="s">
        <v>80</v>
      </c>
      <c r="K54" t="s">
        <v>140</v>
      </c>
    </row>
    <row r="55" spans="1:11" hidden="1" x14ac:dyDescent="0.35">
      <c r="A55" t="s">
        <v>145</v>
      </c>
      <c r="B55" t="s">
        <v>10</v>
      </c>
      <c r="C55" t="s">
        <v>37</v>
      </c>
      <c r="D55" s="3">
        <v>44926</v>
      </c>
      <c r="E55" t="s">
        <v>79</v>
      </c>
      <c r="F55" s="6">
        <v>1400000</v>
      </c>
      <c r="G55" t="s">
        <v>17</v>
      </c>
      <c r="H55" s="5">
        <v>1.0705</v>
      </c>
      <c r="I55" s="6">
        <v>1498700</v>
      </c>
      <c r="J55" t="s">
        <v>80</v>
      </c>
      <c r="K55" t="s">
        <v>140</v>
      </c>
    </row>
    <row r="56" spans="1:11" hidden="1" x14ac:dyDescent="0.35">
      <c r="A56" t="s">
        <v>146</v>
      </c>
      <c r="B56" t="s">
        <v>10</v>
      </c>
      <c r="C56" t="s">
        <v>44</v>
      </c>
      <c r="D56" s="3">
        <v>44926</v>
      </c>
      <c r="E56" t="s">
        <v>79</v>
      </c>
      <c r="F56" s="6">
        <v>1225000</v>
      </c>
      <c r="G56" t="s">
        <v>13</v>
      </c>
      <c r="H56" s="5">
        <v>1</v>
      </c>
      <c r="I56" s="6">
        <v>1225000</v>
      </c>
      <c r="J56" t="s">
        <v>80</v>
      </c>
      <c r="K56" t="s">
        <v>140</v>
      </c>
    </row>
    <row r="57" spans="1:11" hidden="1" x14ac:dyDescent="0.35">
      <c r="A57" t="s">
        <v>147</v>
      </c>
      <c r="B57" t="s">
        <v>18</v>
      </c>
      <c r="C57" t="s">
        <v>32</v>
      </c>
      <c r="D57" s="3">
        <v>44910</v>
      </c>
      <c r="E57" t="s">
        <v>148</v>
      </c>
      <c r="F57" s="6">
        <v>8000000</v>
      </c>
      <c r="G57" t="s">
        <v>13</v>
      </c>
      <c r="H57" s="5">
        <v>1</v>
      </c>
      <c r="I57" s="6">
        <v>8000000</v>
      </c>
      <c r="J57" t="s">
        <v>149</v>
      </c>
      <c r="K57" t="s">
        <v>150</v>
      </c>
    </row>
    <row r="58" spans="1:11" hidden="1" x14ac:dyDescent="0.35">
      <c r="A58" t="s">
        <v>151</v>
      </c>
      <c r="B58" t="s">
        <v>18</v>
      </c>
      <c r="C58" t="s">
        <v>41</v>
      </c>
      <c r="D58" s="3">
        <v>44910</v>
      </c>
      <c r="E58" t="s">
        <v>148</v>
      </c>
      <c r="F58" s="6">
        <v>6400000</v>
      </c>
      <c r="G58" t="s">
        <v>13</v>
      </c>
      <c r="H58" s="5">
        <v>1</v>
      </c>
      <c r="I58" s="6">
        <v>6400000</v>
      </c>
      <c r="J58" t="s">
        <v>149</v>
      </c>
      <c r="K58" t="s">
        <v>150</v>
      </c>
    </row>
    <row r="59" spans="1:11" hidden="1" x14ac:dyDescent="0.35">
      <c r="A59" t="s">
        <v>152</v>
      </c>
      <c r="B59" t="s">
        <v>18</v>
      </c>
      <c r="C59" t="s">
        <v>44</v>
      </c>
      <c r="D59" s="3">
        <v>44910</v>
      </c>
      <c r="E59" t="s">
        <v>148</v>
      </c>
      <c r="F59" s="6">
        <v>6000000</v>
      </c>
      <c r="G59" t="s">
        <v>36</v>
      </c>
      <c r="H59" s="5">
        <v>1.2099</v>
      </c>
      <c r="I59" s="6">
        <v>7259400</v>
      </c>
      <c r="J59" t="s">
        <v>149</v>
      </c>
      <c r="K59" t="s">
        <v>150</v>
      </c>
    </row>
    <row r="60" spans="1:11" x14ac:dyDescent="0.35">
      <c r="A60" t="s">
        <v>153</v>
      </c>
      <c r="B60" t="s">
        <v>10</v>
      </c>
      <c r="C60" t="s">
        <v>27</v>
      </c>
      <c r="D60" s="3">
        <v>44926</v>
      </c>
      <c r="E60" t="s">
        <v>93</v>
      </c>
      <c r="F60" s="6">
        <v>45000</v>
      </c>
      <c r="G60" t="s">
        <v>17</v>
      </c>
      <c r="H60" s="5">
        <v>1.0705</v>
      </c>
      <c r="I60" s="6">
        <v>48173</v>
      </c>
      <c r="J60" t="s">
        <v>94</v>
      </c>
      <c r="K60" t="s">
        <v>154</v>
      </c>
    </row>
    <row r="61" spans="1:11" hidden="1" x14ac:dyDescent="0.35">
      <c r="A61" t="s">
        <v>155</v>
      </c>
      <c r="B61" t="s">
        <v>14</v>
      </c>
      <c r="C61" t="s">
        <v>27</v>
      </c>
      <c r="D61" s="3">
        <v>45017</v>
      </c>
      <c r="E61" t="s">
        <v>73</v>
      </c>
      <c r="F61" s="6">
        <v>30000000</v>
      </c>
      <c r="G61" t="s">
        <v>17</v>
      </c>
      <c r="H61" s="5">
        <v>1</v>
      </c>
      <c r="I61" s="6">
        <v>30000000</v>
      </c>
      <c r="J61" t="s">
        <v>74</v>
      </c>
      <c r="K61" t="s">
        <v>156</v>
      </c>
    </row>
    <row r="62" spans="1:11" hidden="1" x14ac:dyDescent="0.35">
      <c r="A62" t="s">
        <v>157</v>
      </c>
      <c r="B62" t="s">
        <v>14</v>
      </c>
      <c r="C62" t="s">
        <v>37</v>
      </c>
      <c r="D62" s="3">
        <v>45017</v>
      </c>
      <c r="E62" t="s">
        <v>73</v>
      </c>
      <c r="F62" s="6">
        <v>26250000</v>
      </c>
      <c r="G62" t="s">
        <v>17</v>
      </c>
      <c r="H62" s="5">
        <v>1</v>
      </c>
      <c r="I62" s="6">
        <v>26250000</v>
      </c>
      <c r="J62" t="s">
        <v>74</v>
      </c>
      <c r="K62" t="s">
        <v>156</v>
      </c>
    </row>
    <row r="63" spans="1:11" hidden="1" x14ac:dyDescent="0.35">
      <c r="A63" t="s">
        <v>158</v>
      </c>
      <c r="B63" t="s">
        <v>14</v>
      </c>
      <c r="C63" t="s">
        <v>44</v>
      </c>
      <c r="D63" s="3">
        <v>45017</v>
      </c>
      <c r="E63" t="s">
        <v>73</v>
      </c>
      <c r="F63" s="6">
        <v>27750000</v>
      </c>
      <c r="G63" t="s">
        <v>36</v>
      </c>
      <c r="H63" s="5">
        <v>1.2332000000000001</v>
      </c>
      <c r="I63" s="6">
        <v>34221060</v>
      </c>
      <c r="J63" t="s">
        <v>74</v>
      </c>
      <c r="K63" t="s">
        <v>156</v>
      </c>
    </row>
    <row r="64" spans="1:11" hidden="1" x14ac:dyDescent="0.35">
      <c r="A64" t="s">
        <v>159</v>
      </c>
      <c r="B64" t="s">
        <v>14</v>
      </c>
      <c r="C64" t="s">
        <v>47</v>
      </c>
      <c r="D64" s="3">
        <v>45017</v>
      </c>
      <c r="E64" t="s">
        <v>73</v>
      </c>
      <c r="F64" s="6">
        <v>30000000</v>
      </c>
      <c r="G64" t="s">
        <v>17</v>
      </c>
      <c r="H64" s="5">
        <v>1</v>
      </c>
      <c r="I64" s="6">
        <v>30000000</v>
      </c>
      <c r="J64" t="s">
        <v>74</v>
      </c>
      <c r="K64" t="s">
        <v>156</v>
      </c>
    </row>
    <row r="65" spans="1:11" hidden="1" x14ac:dyDescent="0.35">
      <c r="A65" t="s">
        <v>160</v>
      </c>
      <c r="B65" t="s">
        <v>14</v>
      </c>
      <c r="C65" t="s">
        <v>27</v>
      </c>
      <c r="D65" s="3">
        <v>45107</v>
      </c>
      <c r="E65" t="s">
        <v>79</v>
      </c>
      <c r="F65" s="6">
        <v>1000000</v>
      </c>
      <c r="G65" t="s">
        <v>17</v>
      </c>
      <c r="H65" s="5">
        <v>1</v>
      </c>
      <c r="I65" s="6">
        <v>1000000</v>
      </c>
      <c r="J65" t="s">
        <v>80</v>
      </c>
      <c r="K65" t="s">
        <v>161</v>
      </c>
    </row>
    <row r="66" spans="1:11" hidden="1" x14ac:dyDescent="0.35">
      <c r="A66" t="s">
        <v>162</v>
      </c>
      <c r="B66" t="s">
        <v>14</v>
      </c>
      <c r="C66" t="s">
        <v>37</v>
      </c>
      <c r="D66" s="3">
        <v>45107</v>
      </c>
      <c r="E66" t="s">
        <v>79</v>
      </c>
      <c r="F66" s="6">
        <v>875000</v>
      </c>
      <c r="G66" t="s">
        <v>17</v>
      </c>
      <c r="H66" s="5">
        <v>1</v>
      </c>
      <c r="I66" s="6">
        <v>875000</v>
      </c>
      <c r="J66" t="s">
        <v>80</v>
      </c>
      <c r="K66" t="s">
        <v>161</v>
      </c>
    </row>
    <row r="67" spans="1:11" hidden="1" x14ac:dyDescent="0.35">
      <c r="A67" t="s">
        <v>163</v>
      </c>
      <c r="B67" t="s">
        <v>14</v>
      </c>
      <c r="C67" t="s">
        <v>44</v>
      </c>
      <c r="D67" s="3">
        <v>45107</v>
      </c>
      <c r="E67" t="s">
        <v>79</v>
      </c>
      <c r="F67" s="6">
        <v>925000</v>
      </c>
      <c r="G67" t="s">
        <v>36</v>
      </c>
      <c r="H67" s="5">
        <v>1.2712000000000001</v>
      </c>
      <c r="I67" s="6">
        <v>1175860</v>
      </c>
      <c r="J67" t="s">
        <v>80</v>
      </c>
      <c r="K67" t="s">
        <v>161</v>
      </c>
    </row>
    <row r="68" spans="1:11" hidden="1" x14ac:dyDescent="0.35">
      <c r="A68" t="s">
        <v>164</v>
      </c>
      <c r="B68" t="s">
        <v>14</v>
      </c>
      <c r="C68" t="s">
        <v>47</v>
      </c>
      <c r="D68" s="3">
        <v>45107</v>
      </c>
      <c r="E68" t="s">
        <v>79</v>
      </c>
      <c r="F68" s="6">
        <v>1000000</v>
      </c>
      <c r="G68" t="s">
        <v>17</v>
      </c>
      <c r="H68" s="5">
        <v>1</v>
      </c>
      <c r="I68" s="6">
        <v>1000000</v>
      </c>
      <c r="J68" t="s">
        <v>80</v>
      </c>
      <c r="K68" t="s">
        <v>161</v>
      </c>
    </row>
    <row r="69" spans="1:11" x14ac:dyDescent="0.35">
      <c r="A69" t="s">
        <v>165</v>
      </c>
      <c r="B69" t="s">
        <v>10</v>
      </c>
      <c r="C69" t="s">
        <v>27</v>
      </c>
      <c r="D69" s="3">
        <v>45016</v>
      </c>
      <c r="E69" t="s">
        <v>79</v>
      </c>
      <c r="F69" s="6">
        <v>1750000</v>
      </c>
      <c r="G69" t="s">
        <v>17</v>
      </c>
      <c r="H69" s="5">
        <v>1.0891</v>
      </c>
      <c r="I69" s="6">
        <v>1905925</v>
      </c>
      <c r="J69" t="s">
        <v>80</v>
      </c>
      <c r="K69" t="s">
        <v>166</v>
      </c>
    </row>
    <row r="70" spans="1:11" hidden="1" x14ac:dyDescent="0.35">
      <c r="A70" t="s">
        <v>167</v>
      </c>
      <c r="B70" t="s">
        <v>10</v>
      </c>
      <c r="C70" t="s">
        <v>32</v>
      </c>
      <c r="D70" s="3">
        <v>45016</v>
      </c>
      <c r="E70" t="s">
        <v>79</v>
      </c>
      <c r="F70" s="6">
        <v>2000000</v>
      </c>
      <c r="G70" t="s">
        <v>36</v>
      </c>
      <c r="H70" s="5">
        <v>1.2332000000000001</v>
      </c>
      <c r="I70" s="6">
        <v>2466400</v>
      </c>
      <c r="J70" t="s">
        <v>80</v>
      </c>
      <c r="K70" t="s">
        <v>166</v>
      </c>
    </row>
    <row r="71" spans="1:11" hidden="1" x14ac:dyDescent="0.35">
      <c r="A71" t="s">
        <v>168</v>
      </c>
      <c r="B71" t="s">
        <v>10</v>
      </c>
      <c r="C71" t="s">
        <v>37</v>
      </c>
      <c r="D71" s="3">
        <v>45016</v>
      </c>
      <c r="E71" t="s">
        <v>79</v>
      </c>
      <c r="F71" s="6">
        <v>1400000</v>
      </c>
      <c r="G71" t="s">
        <v>17</v>
      </c>
      <c r="H71" s="5">
        <v>1.0891</v>
      </c>
      <c r="I71" s="6">
        <v>1524740</v>
      </c>
      <c r="J71" t="s">
        <v>80</v>
      </c>
      <c r="K71" t="s">
        <v>166</v>
      </c>
    </row>
    <row r="72" spans="1:11" hidden="1" x14ac:dyDescent="0.35">
      <c r="A72" t="s">
        <v>169</v>
      </c>
      <c r="B72" t="s">
        <v>10</v>
      </c>
      <c r="C72" t="s">
        <v>44</v>
      </c>
      <c r="D72" s="3">
        <v>45016</v>
      </c>
      <c r="E72" t="s">
        <v>79</v>
      </c>
      <c r="F72" s="6">
        <v>1225000</v>
      </c>
      <c r="G72" t="s">
        <v>13</v>
      </c>
      <c r="H72" s="5">
        <v>1</v>
      </c>
      <c r="I72" s="6">
        <v>1225000</v>
      </c>
      <c r="J72" t="s">
        <v>80</v>
      </c>
      <c r="K72" t="s">
        <v>166</v>
      </c>
    </row>
    <row r="73" spans="1:11" hidden="1" x14ac:dyDescent="0.35">
      <c r="A73" t="s">
        <v>170</v>
      </c>
      <c r="B73" t="s">
        <v>18</v>
      </c>
      <c r="C73" t="s">
        <v>32</v>
      </c>
      <c r="D73" s="3">
        <v>45016</v>
      </c>
      <c r="E73" t="s">
        <v>79</v>
      </c>
      <c r="F73" s="6">
        <v>93750</v>
      </c>
      <c r="G73" t="s">
        <v>13</v>
      </c>
      <c r="H73" s="5">
        <v>1</v>
      </c>
      <c r="I73" s="6">
        <v>93750</v>
      </c>
      <c r="J73" t="s">
        <v>80</v>
      </c>
      <c r="K73" t="s">
        <v>166</v>
      </c>
    </row>
    <row r="74" spans="1:11" hidden="1" x14ac:dyDescent="0.35">
      <c r="A74" t="s">
        <v>171</v>
      </c>
      <c r="B74" t="s">
        <v>18</v>
      </c>
      <c r="C74" t="s">
        <v>41</v>
      </c>
      <c r="D74" s="3">
        <v>45016</v>
      </c>
      <c r="E74" t="s">
        <v>79</v>
      </c>
      <c r="F74" s="6">
        <v>75000</v>
      </c>
      <c r="G74" t="s">
        <v>13</v>
      </c>
      <c r="H74" s="5">
        <v>1</v>
      </c>
      <c r="I74" s="6">
        <v>75000</v>
      </c>
      <c r="J74" t="s">
        <v>80</v>
      </c>
      <c r="K74" t="s">
        <v>166</v>
      </c>
    </row>
    <row r="75" spans="1:11" hidden="1" x14ac:dyDescent="0.35">
      <c r="A75" t="s">
        <v>172</v>
      </c>
      <c r="B75" t="s">
        <v>18</v>
      </c>
      <c r="C75" t="s">
        <v>44</v>
      </c>
      <c r="D75" s="3">
        <v>45016</v>
      </c>
      <c r="E75" t="s">
        <v>79</v>
      </c>
      <c r="F75" s="6">
        <v>70313</v>
      </c>
      <c r="G75" t="s">
        <v>36</v>
      </c>
      <c r="H75" s="5">
        <v>1.2332000000000001</v>
      </c>
      <c r="I75" s="6">
        <v>86700</v>
      </c>
      <c r="J75" t="s">
        <v>80</v>
      </c>
      <c r="K75" t="s">
        <v>166</v>
      </c>
    </row>
    <row r="76" spans="1:11" x14ac:dyDescent="0.35">
      <c r="A76" t="s">
        <v>173</v>
      </c>
      <c r="B76" t="s">
        <v>10</v>
      </c>
      <c r="C76" t="s">
        <v>27</v>
      </c>
      <c r="D76" s="3">
        <v>45108</v>
      </c>
      <c r="E76" t="s">
        <v>73</v>
      </c>
      <c r="F76" s="6">
        <v>87500000</v>
      </c>
      <c r="G76" t="s">
        <v>17</v>
      </c>
      <c r="H76" s="5">
        <v>1.1009</v>
      </c>
      <c r="I76" s="6">
        <v>96328750</v>
      </c>
      <c r="J76" t="s">
        <v>74</v>
      </c>
      <c r="K76" t="s">
        <v>174</v>
      </c>
    </row>
    <row r="77" spans="1:11" hidden="1" x14ac:dyDescent="0.35">
      <c r="A77" t="s">
        <v>175</v>
      </c>
      <c r="B77" t="s">
        <v>10</v>
      </c>
      <c r="C77" t="s">
        <v>32</v>
      </c>
      <c r="D77" s="3">
        <v>45108</v>
      </c>
      <c r="E77" t="s">
        <v>73</v>
      </c>
      <c r="F77" s="6">
        <v>90000000</v>
      </c>
      <c r="G77" t="s">
        <v>36</v>
      </c>
      <c r="H77" s="5">
        <v>1.2826</v>
      </c>
      <c r="I77" s="6">
        <v>115434000</v>
      </c>
      <c r="J77" t="s">
        <v>74</v>
      </c>
      <c r="K77" t="s">
        <v>174</v>
      </c>
    </row>
    <row r="78" spans="1:11" hidden="1" x14ac:dyDescent="0.35">
      <c r="A78" t="s">
        <v>176</v>
      </c>
      <c r="B78" t="s">
        <v>10</v>
      </c>
      <c r="C78" t="s">
        <v>37</v>
      </c>
      <c r="D78" s="3">
        <v>45108</v>
      </c>
      <c r="E78" t="s">
        <v>73</v>
      </c>
      <c r="F78" s="6">
        <v>63000000</v>
      </c>
      <c r="G78" t="s">
        <v>17</v>
      </c>
      <c r="H78" s="5">
        <v>1.1009</v>
      </c>
      <c r="I78" s="6">
        <v>69356700</v>
      </c>
      <c r="J78" t="s">
        <v>74</v>
      </c>
      <c r="K78" t="s">
        <v>174</v>
      </c>
    </row>
    <row r="79" spans="1:11" hidden="1" x14ac:dyDescent="0.35">
      <c r="A79" t="s">
        <v>177</v>
      </c>
      <c r="B79" t="s">
        <v>10</v>
      </c>
      <c r="C79" t="s">
        <v>44</v>
      </c>
      <c r="D79" s="3">
        <v>45108</v>
      </c>
      <c r="E79" t="s">
        <v>73</v>
      </c>
      <c r="F79" s="6">
        <v>55125000</v>
      </c>
      <c r="G79" t="s">
        <v>13</v>
      </c>
      <c r="H79" s="5">
        <v>1</v>
      </c>
      <c r="I79" s="6">
        <v>55125000</v>
      </c>
      <c r="J79" t="s">
        <v>74</v>
      </c>
      <c r="K79" t="s">
        <v>174</v>
      </c>
    </row>
    <row r="80" spans="1:11" x14ac:dyDescent="0.35">
      <c r="A80" t="s">
        <v>178</v>
      </c>
      <c r="B80" t="s">
        <v>10</v>
      </c>
      <c r="C80" t="s">
        <v>27</v>
      </c>
      <c r="D80" s="3">
        <v>45107</v>
      </c>
      <c r="E80" t="s">
        <v>79</v>
      </c>
      <c r="F80" s="6">
        <v>1750000</v>
      </c>
      <c r="G80" t="s">
        <v>17</v>
      </c>
      <c r="H80" s="5"/>
      <c r="I80" s="6"/>
      <c r="J80" t="s">
        <v>80</v>
      </c>
      <c r="K80" t="s">
        <v>161</v>
      </c>
    </row>
    <row r="81" spans="1:11" hidden="1" x14ac:dyDescent="0.35">
      <c r="A81" t="s">
        <v>179</v>
      </c>
      <c r="B81" t="s">
        <v>10</v>
      </c>
      <c r="C81" t="s">
        <v>32</v>
      </c>
      <c r="D81" s="3">
        <v>45107</v>
      </c>
      <c r="E81" t="s">
        <v>79</v>
      </c>
      <c r="F81" s="6">
        <v>2000000</v>
      </c>
      <c r="G81" t="s">
        <v>36</v>
      </c>
      <c r="H81" s="5">
        <v>1.2455000000000001</v>
      </c>
      <c r="I81" s="6">
        <v>2491000</v>
      </c>
      <c r="J81" t="s">
        <v>80</v>
      </c>
      <c r="K81" t="s">
        <v>161</v>
      </c>
    </row>
    <row r="82" spans="1:11" hidden="1" x14ac:dyDescent="0.35">
      <c r="A82" t="s">
        <v>180</v>
      </c>
      <c r="B82" t="s">
        <v>10</v>
      </c>
      <c r="C82" t="s">
        <v>37</v>
      </c>
      <c r="D82" s="3">
        <v>45107</v>
      </c>
      <c r="E82" t="s">
        <v>79</v>
      </c>
      <c r="F82" s="6">
        <v>1400000</v>
      </c>
      <c r="G82" t="s">
        <v>17</v>
      </c>
      <c r="H82" s="5">
        <v>1.0778000000000001</v>
      </c>
      <c r="I82" s="6">
        <v>1508920</v>
      </c>
      <c r="J82" t="s">
        <v>80</v>
      </c>
      <c r="K82" t="s">
        <v>161</v>
      </c>
    </row>
    <row r="83" spans="1:11" hidden="1" x14ac:dyDescent="0.35">
      <c r="A83" t="s">
        <v>181</v>
      </c>
      <c r="B83" t="s">
        <v>10</v>
      </c>
      <c r="C83" t="s">
        <v>44</v>
      </c>
      <c r="D83" s="3">
        <v>45107</v>
      </c>
      <c r="E83" t="s">
        <v>79</v>
      </c>
      <c r="F83" s="6">
        <v>1225000</v>
      </c>
      <c r="G83" t="s">
        <v>13</v>
      </c>
      <c r="H83" s="5">
        <v>1</v>
      </c>
      <c r="I83" s="6">
        <v>1225000</v>
      </c>
      <c r="J83" t="s">
        <v>80</v>
      </c>
      <c r="K83" t="s">
        <v>161</v>
      </c>
    </row>
    <row r="84" spans="1:11" hidden="1" x14ac:dyDescent="0.35">
      <c r="A84" t="s">
        <v>181</v>
      </c>
      <c r="B84" t="s">
        <v>10</v>
      </c>
      <c r="C84" t="s">
        <v>44</v>
      </c>
      <c r="D84" s="3">
        <v>45107</v>
      </c>
      <c r="E84" t="s">
        <v>79</v>
      </c>
      <c r="F84" s="6">
        <v>1225000</v>
      </c>
      <c r="G84" t="s">
        <v>13</v>
      </c>
      <c r="H84" s="5">
        <v>1</v>
      </c>
      <c r="I84" s="6">
        <v>1225000</v>
      </c>
      <c r="J84" t="s">
        <v>80</v>
      </c>
      <c r="K84" t="s">
        <v>161</v>
      </c>
    </row>
    <row r="85" spans="1:11" hidden="1" x14ac:dyDescent="0.35">
      <c r="A85" t="s">
        <v>182</v>
      </c>
      <c r="B85" t="s">
        <v>18</v>
      </c>
      <c r="C85" t="s">
        <v>32</v>
      </c>
      <c r="D85" s="3">
        <v>45184</v>
      </c>
      <c r="E85" t="s">
        <v>148</v>
      </c>
      <c r="F85" s="6">
        <v>12000000</v>
      </c>
      <c r="G85" t="s">
        <v>13</v>
      </c>
      <c r="H85" s="5">
        <v>1</v>
      </c>
      <c r="I85" s="6">
        <v>12000000</v>
      </c>
      <c r="J85" t="s">
        <v>149</v>
      </c>
      <c r="K85" t="s">
        <v>183</v>
      </c>
    </row>
    <row r="86" spans="1:11" hidden="1" x14ac:dyDescent="0.35">
      <c r="A86" t="s">
        <v>184</v>
      </c>
      <c r="B86" t="s">
        <v>18</v>
      </c>
      <c r="C86" t="s">
        <v>41</v>
      </c>
      <c r="D86" s="3">
        <v>45184</v>
      </c>
      <c r="E86" t="s">
        <v>148</v>
      </c>
      <c r="F86" s="6">
        <v>9600000</v>
      </c>
      <c r="G86" t="s">
        <v>13</v>
      </c>
      <c r="H86" s="5">
        <v>1</v>
      </c>
      <c r="I86" s="6">
        <v>9600000</v>
      </c>
      <c r="J86" t="s">
        <v>149</v>
      </c>
      <c r="K86" t="s">
        <v>183</v>
      </c>
    </row>
    <row r="87" spans="1:11" hidden="1" x14ac:dyDescent="0.35">
      <c r="A87" t="s">
        <v>185</v>
      </c>
      <c r="B87" t="s">
        <v>18</v>
      </c>
      <c r="C87" t="s">
        <v>44</v>
      </c>
      <c r="D87" s="3">
        <v>45184</v>
      </c>
      <c r="E87" t="s">
        <v>148</v>
      </c>
      <c r="F87" s="6">
        <v>9000000</v>
      </c>
      <c r="G87" t="s">
        <v>36</v>
      </c>
      <c r="H87" s="5">
        <v>1.2198</v>
      </c>
      <c r="I87" s="6">
        <v>10978200</v>
      </c>
      <c r="J87" t="s">
        <v>149</v>
      </c>
      <c r="K87" t="s">
        <v>183</v>
      </c>
    </row>
    <row r="88" spans="1:11" hidden="1" x14ac:dyDescent="0.35">
      <c r="A88" t="s">
        <v>186</v>
      </c>
      <c r="B88" t="s">
        <v>14</v>
      </c>
      <c r="C88" t="s">
        <v>27</v>
      </c>
      <c r="D88" s="3">
        <v>45170</v>
      </c>
      <c r="E88" t="s">
        <v>73</v>
      </c>
      <c r="F88" s="6">
        <v>50000000</v>
      </c>
      <c r="G88" t="s">
        <v>17</v>
      </c>
      <c r="H88" s="5">
        <v>1</v>
      </c>
      <c r="I88" s="6">
        <v>50000000</v>
      </c>
      <c r="J88" t="s">
        <v>74</v>
      </c>
      <c r="K88" t="s">
        <v>187</v>
      </c>
    </row>
    <row r="89" spans="1:11" hidden="1" x14ac:dyDescent="0.35">
      <c r="A89" t="s">
        <v>188</v>
      </c>
      <c r="B89" t="s">
        <v>14</v>
      </c>
      <c r="C89" t="s">
        <v>37</v>
      </c>
      <c r="D89" s="3">
        <v>45170</v>
      </c>
      <c r="E89" t="s">
        <v>73</v>
      </c>
      <c r="F89" s="6">
        <v>43750000</v>
      </c>
      <c r="G89" t="s">
        <v>17</v>
      </c>
      <c r="H89" s="5">
        <v>1</v>
      </c>
      <c r="I89" s="6">
        <v>43750000</v>
      </c>
      <c r="J89" t="s">
        <v>74</v>
      </c>
      <c r="K89" t="s">
        <v>187</v>
      </c>
    </row>
    <row r="90" spans="1:11" hidden="1" x14ac:dyDescent="0.35">
      <c r="A90" t="s">
        <v>189</v>
      </c>
      <c r="B90" t="s">
        <v>14</v>
      </c>
      <c r="C90" t="s">
        <v>44</v>
      </c>
      <c r="D90" s="3">
        <v>45170</v>
      </c>
      <c r="E90" t="s">
        <v>73</v>
      </c>
      <c r="F90" s="6">
        <v>46250000</v>
      </c>
      <c r="G90" t="s">
        <v>36</v>
      </c>
      <c r="H90" s="5">
        <v>1.2198</v>
      </c>
      <c r="I90" s="6">
        <v>56415750</v>
      </c>
      <c r="J90" t="s">
        <v>74</v>
      </c>
      <c r="K90" t="s">
        <v>187</v>
      </c>
    </row>
    <row r="91" spans="1:11" hidden="1" x14ac:dyDescent="0.35">
      <c r="A91" t="s">
        <v>190</v>
      </c>
      <c r="B91" t="s">
        <v>14</v>
      </c>
      <c r="C91" t="s">
        <v>47</v>
      </c>
      <c r="D91" s="3">
        <v>45170</v>
      </c>
      <c r="E91" t="s">
        <v>73</v>
      </c>
      <c r="F91" s="6">
        <v>50000000</v>
      </c>
      <c r="G91" t="s">
        <v>17</v>
      </c>
      <c r="H91" s="5">
        <v>1</v>
      </c>
      <c r="I91" s="6">
        <v>50000000</v>
      </c>
      <c r="J91" t="s">
        <v>74</v>
      </c>
      <c r="K91" t="s">
        <v>187</v>
      </c>
    </row>
    <row r="92" spans="1:11" x14ac:dyDescent="0.35">
      <c r="A92" t="s">
        <v>191</v>
      </c>
      <c r="B92" t="s">
        <v>10</v>
      </c>
      <c r="C92" t="s">
        <v>27</v>
      </c>
      <c r="D92" s="3">
        <v>45306</v>
      </c>
      <c r="E92" t="s">
        <v>73</v>
      </c>
      <c r="F92" s="6">
        <v>157500000</v>
      </c>
      <c r="G92" t="s">
        <v>17</v>
      </c>
      <c r="H92" s="5">
        <v>1.0835999999999999</v>
      </c>
      <c r="I92" s="6">
        <v>170618700</v>
      </c>
      <c r="J92" t="s">
        <v>74</v>
      </c>
      <c r="K92" t="s">
        <v>192</v>
      </c>
    </row>
    <row r="93" spans="1:11" x14ac:dyDescent="0.35">
      <c r="A93" t="s">
        <v>193</v>
      </c>
      <c r="B93" t="s">
        <v>10</v>
      </c>
      <c r="C93" t="s">
        <v>27</v>
      </c>
      <c r="D93" s="3">
        <v>45199</v>
      </c>
      <c r="E93" t="s">
        <v>79</v>
      </c>
      <c r="F93" s="6">
        <v>1750000</v>
      </c>
      <c r="G93" t="s">
        <v>17</v>
      </c>
      <c r="H93" s="5">
        <v>1.0572999999999999</v>
      </c>
      <c r="I93" s="6">
        <v>1850275</v>
      </c>
      <c r="J93" t="s">
        <v>80</v>
      </c>
      <c r="K93" t="s">
        <v>194</v>
      </c>
    </row>
    <row r="94" spans="1:11" hidden="1" x14ac:dyDescent="0.35">
      <c r="A94" t="s">
        <v>195</v>
      </c>
      <c r="B94" t="s">
        <v>10</v>
      </c>
      <c r="C94" t="s">
        <v>32</v>
      </c>
      <c r="D94" s="3">
        <v>45199</v>
      </c>
      <c r="E94" t="s">
        <v>79</v>
      </c>
      <c r="F94" s="6">
        <v>2000000</v>
      </c>
      <c r="G94" t="s">
        <v>36</v>
      </c>
      <c r="H94" s="5">
        <v>1.2198</v>
      </c>
      <c r="I94" s="6">
        <v>2439600</v>
      </c>
      <c r="J94" t="s">
        <v>80</v>
      </c>
      <c r="K94" t="s">
        <v>194</v>
      </c>
    </row>
    <row r="95" spans="1:11" hidden="1" x14ac:dyDescent="0.35">
      <c r="A95" t="s">
        <v>196</v>
      </c>
      <c r="B95" t="s">
        <v>10</v>
      </c>
      <c r="C95" t="s">
        <v>37</v>
      </c>
      <c r="D95" s="3">
        <v>45199</v>
      </c>
      <c r="E95" t="s">
        <v>79</v>
      </c>
      <c r="F95" s="6">
        <v>1400000</v>
      </c>
      <c r="G95" t="s">
        <v>17</v>
      </c>
      <c r="H95" s="5">
        <v>1.0572999999999999</v>
      </c>
      <c r="I95" s="6">
        <v>1480220</v>
      </c>
      <c r="J95" t="s">
        <v>80</v>
      </c>
      <c r="K95" t="s">
        <v>194</v>
      </c>
    </row>
    <row r="96" spans="1:11" hidden="1" x14ac:dyDescent="0.35">
      <c r="A96" t="s">
        <v>197</v>
      </c>
      <c r="B96" t="s">
        <v>10</v>
      </c>
      <c r="C96" t="s">
        <v>44</v>
      </c>
      <c r="D96" s="3">
        <v>45199</v>
      </c>
      <c r="E96" t="s">
        <v>79</v>
      </c>
      <c r="F96" s="6">
        <v>1225000</v>
      </c>
      <c r="G96" t="s">
        <v>13</v>
      </c>
      <c r="H96" s="5">
        <v>1</v>
      </c>
      <c r="I96" s="6">
        <v>1225000</v>
      </c>
      <c r="J96" t="s">
        <v>80</v>
      </c>
      <c r="K96" t="s">
        <v>194</v>
      </c>
    </row>
    <row r="97" spans="1:11" x14ac:dyDescent="0.35">
      <c r="A97" t="s">
        <v>198</v>
      </c>
      <c r="B97" t="s">
        <v>10</v>
      </c>
      <c r="C97" t="s">
        <v>27</v>
      </c>
      <c r="D97" s="3">
        <v>45473</v>
      </c>
      <c r="E97" t="s">
        <v>148</v>
      </c>
      <c r="F97" s="6">
        <v>25000000</v>
      </c>
      <c r="G97" t="s">
        <v>13</v>
      </c>
      <c r="H97" s="5">
        <v>1</v>
      </c>
      <c r="I97" s="6">
        <v>25000000</v>
      </c>
      <c r="J97" t="s">
        <v>149</v>
      </c>
      <c r="K97" t="s">
        <v>199</v>
      </c>
    </row>
    <row r="98" spans="1:11" hidden="1" x14ac:dyDescent="0.35">
      <c r="A98" t="s">
        <v>200</v>
      </c>
      <c r="B98" t="s">
        <v>10</v>
      </c>
      <c r="C98" t="s">
        <v>32</v>
      </c>
      <c r="D98" s="3">
        <v>45473</v>
      </c>
      <c r="E98" t="s">
        <v>148</v>
      </c>
      <c r="F98" s="6">
        <v>28571429</v>
      </c>
      <c r="G98" t="s">
        <v>13</v>
      </c>
      <c r="H98" s="5">
        <v>1</v>
      </c>
      <c r="I98" s="6">
        <v>28571429</v>
      </c>
      <c r="J98" t="s">
        <v>149</v>
      </c>
      <c r="K98" t="s">
        <v>199</v>
      </c>
    </row>
    <row r="99" spans="1:11" hidden="1" x14ac:dyDescent="0.35">
      <c r="A99" t="s">
        <v>201</v>
      </c>
      <c r="B99" t="s">
        <v>10</v>
      </c>
      <c r="C99" t="s">
        <v>37</v>
      </c>
      <c r="D99" s="3">
        <v>45473</v>
      </c>
      <c r="E99" t="s">
        <v>148</v>
      </c>
      <c r="F99" s="6">
        <v>20000000</v>
      </c>
      <c r="G99" t="s">
        <v>13</v>
      </c>
      <c r="H99" s="5">
        <v>1</v>
      </c>
      <c r="I99" s="6">
        <v>20000000</v>
      </c>
      <c r="J99" t="s">
        <v>149</v>
      </c>
      <c r="K99" t="s">
        <v>199</v>
      </c>
    </row>
    <row r="100" spans="1:11" hidden="1" x14ac:dyDescent="0.35">
      <c r="A100" t="s">
        <v>202</v>
      </c>
      <c r="B100" t="s">
        <v>10</v>
      </c>
      <c r="C100" t="s">
        <v>44</v>
      </c>
      <c r="D100" s="3">
        <v>45473</v>
      </c>
      <c r="E100" t="s">
        <v>148</v>
      </c>
      <c r="F100" s="6">
        <v>17500000</v>
      </c>
      <c r="G100" t="s">
        <v>13</v>
      </c>
      <c r="H100" s="5">
        <v>1</v>
      </c>
      <c r="I100" s="6">
        <v>17500000</v>
      </c>
      <c r="J100" t="s">
        <v>149</v>
      </c>
      <c r="K100" t="s">
        <v>199</v>
      </c>
    </row>
    <row r="101" spans="1:11" hidden="1" x14ac:dyDescent="0.35">
      <c r="A101" t="s">
        <v>203</v>
      </c>
      <c r="B101" t="s">
        <v>14</v>
      </c>
      <c r="C101" t="s">
        <v>27</v>
      </c>
      <c r="D101" s="3">
        <v>45382</v>
      </c>
      <c r="E101" t="s">
        <v>79</v>
      </c>
      <c r="F101" s="6">
        <v>1000000</v>
      </c>
      <c r="G101" t="s">
        <v>17</v>
      </c>
      <c r="H101" s="5">
        <v>1</v>
      </c>
      <c r="I101" s="6">
        <v>1000000</v>
      </c>
      <c r="J101" t="s">
        <v>80</v>
      </c>
      <c r="K101" t="s">
        <v>204</v>
      </c>
    </row>
    <row r="102" spans="1:11" hidden="1" x14ac:dyDescent="0.35">
      <c r="A102" t="s">
        <v>205</v>
      </c>
      <c r="B102" t="s">
        <v>14</v>
      </c>
      <c r="C102" t="s">
        <v>37</v>
      </c>
      <c r="D102" s="3">
        <v>45382</v>
      </c>
      <c r="E102" t="s">
        <v>79</v>
      </c>
      <c r="F102" s="6">
        <v>875000</v>
      </c>
      <c r="G102" t="s">
        <v>17</v>
      </c>
      <c r="H102" s="5">
        <v>1</v>
      </c>
      <c r="I102" s="6">
        <v>875000</v>
      </c>
      <c r="J102" t="s">
        <v>80</v>
      </c>
      <c r="K102" t="s">
        <v>204</v>
      </c>
    </row>
    <row r="103" spans="1:11" hidden="1" x14ac:dyDescent="0.35">
      <c r="A103" t="s">
        <v>206</v>
      </c>
      <c r="B103" t="s">
        <v>14</v>
      </c>
      <c r="C103" t="s">
        <v>44</v>
      </c>
      <c r="D103" s="3">
        <v>45382</v>
      </c>
      <c r="E103" t="s">
        <v>79</v>
      </c>
      <c r="F103" s="6">
        <v>925000</v>
      </c>
      <c r="G103" t="s">
        <v>36</v>
      </c>
      <c r="H103" s="5">
        <v>1.2629999999999999</v>
      </c>
      <c r="I103" s="6">
        <v>1168275</v>
      </c>
      <c r="J103" t="s">
        <v>80</v>
      </c>
      <c r="K103" t="s">
        <v>204</v>
      </c>
    </row>
    <row r="104" spans="1:11" hidden="1" x14ac:dyDescent="0.35">
      <c r="A104" t="s">
        <v>207</v>
      </c>
      <c r="B104" t="s">
        <v>14</v>
      </c>
      <c r="C104" t="s">
        <v>47</v>
      </c>
      <c r="D104" s="3">
        <v>45382</v>
      </c>
      <c r="E104" t="s">
        <v>79</v>
      </c>
      <c r="F104" s="6">
        <v>1000000</v>
      </c>
      <c r="G104" t="s">
        <v>17</v>
      </c>
      <c r="H104" s="5">
        <v>1</v>
      </c>
      <c r="I104" s="6">
        <v>1000000</v>
      </c>
      <c r="J104" t="s">
        <v>80</v>
      </c>
      <c r="K104" t="s">
        <v>204</v>
      </c>
    </row>
    <row r="105" spans="1:11" x14ac:dyDescent="0.35">
      <c r="A105" t="s">
        <v>208</v>
      </c>
      <c r="B105" t="s">
        <v>10</v>
      </c>
      <c r="C105" t="s">
        <v>27</v>
      </c>
      <c r="D105" s="3">
        <v>45382</v>
      </c>
      <c r="E105" t="s">
        <v>79</v>
      </c>
      <c r="F105" s="6">
        <v>1750000</v>
      </c>
      <c r="G105" t="s">
        <v>17</v>
      </c>
      <c r="H105" s="5">
        <v>1.0789</v>
      </c>
      <c r="I105" s="6">
        <v>1888075</v>
      </c>
      <c r="J105" t="s">
        <v>80</v>
      </c>
      <c r="K105" t="s">
        <v>204</v>
      </c>
    </row>
    <row r="106" spans="1:11" hidden="1" x14ac:dyDescent="0.35">
      <c r="A106" t="s">
        <v>209</v>
      </c>
      <c r="B106" t="s">
        <v>10</v>
      </c>
      <c r="C106" t="s">
        <v>32</v>
      </c>
      <c r="D106" s="3">
        <v>45382</v>
      </c>
      <c r="E106" t="s">
        <v>79</v>
      </c>
      <c r="F106" s="6">
        <v>2000000</v>
      </c>
      <c r="G106" t="s">
        <v>36</v>
      </c>
      <c r="H106" s="5">
        <v>1.2629999999999999</v>
      </c>
      <c r="I106" s="6">
        <v>2526000</v>
      </c>
      <c r="J106" t="s">
        <v>80</v>
      </c>
      <c r="K106" t="s">
        <v>204</v>
      </c>
    </row>
    <row r="107" spans="1:11" hidden="1" x14ac:dyDescent="0.35">
      <c r="A107" t="s">
        <v>210</v>
      </c>
      <c r="B107" t="s">
        <v>10</v>
      </c>
      <c r="C107" t="s">
        <v>37</v>
      </c>
      <c r="D107" s="3">
        <v>45382</v>
      </c>
      <c r="E107" t="s">
        <v>79</v>
      </c>
      <c r="F107" s="6">
        <v>1400000</v>
      </c>
      <c r="G107" t="s">
        <v>17</v>
      </c>
      <c r="H107" s="5">
        <v>1.0789</v>
      </c>
      <c r="I107" s="6">
        <v>1510460</v>
      </c>
      <c r="J107" t="s">
        <v>80</v>
      </c>
      <c r="K107" t="s">
        <v>204</v>
      </c>
    </row>
    <row r="108" spans="1:11" hidden="1" x14ac:dyDescent="0.35">
      <c r="A108" t="s">
        <v>211</v>
      </c>
      <c r="B108" t="s">
        <v>10</v>
      </c>
      <c r="C108" t="s">
        <v>44</v>
      </c>
      <c r="D108" s="3">
        <v>45382</v>
      </c>
      <c r="E108" t="s">
        <v>79</v>
      </c>
      <c r="F108" s="6">
        <v>1225000</v>
      </c>
      <c r="G108" t="s">
        <v>13</v>
      </c>
      <c r="H108" s="5">
        <v>1</v>
      </c>
      <c r="I108" s="6">
        <v>1225000</v>
      </c>
      <c r="J108" t="s">
        <v>80</v>
      </c>
      <c r="K108" t="s">
        <v>204</v>
      </c>
    </row>
  </sheetData>
  <dataValidations count="3">
    <dataValidation type="list" allowBlank="1" showInputMessage="1" showErrorMessage="1" sqref="E2:E108" xr:uid="{B299F423-3765-4B6F-95E4-07CB79055A02}">
      <formula1>"Capital Call,Distribution,Management Fee,Other Expense"</formula1>
    </dataValidation>
    <dataValidation type="list" allowBlank="1" showInputMessage="1" showErrorMessage="1" sqref="G2:G108" xr:uid="{187594E8-D498-4651-873C-969E3799CFD4}">
      <formula1>"USD,EUR,GBP,PLN"</formula1>
    </dataValidation>
    <dataValidation type="list" allowBlank="1" showInputMessage="1" showErrorMessage="1" sqref="J2:J108" xr:uid="{F0532A1F-9B64-472A-87F4-97A2F5E6E5B1}">
      <formula1>"Contributions,Distributions,Fees,Expenses"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AF35-89AE-429C-9677-EE21FAC0CFA0}">
  <sheetPr>
    <tabColor rgb="FF833C00"/>
  </sheetPr>
  <dimension ref="A1:G26"/>
  <sheetViews>
    <sheetView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11.81640625" customWidth="1"/>
    <col min="2" max="2" width="21.81640625" customWidth="1"/>
    <col min="3" max="3" width="27.26953125" customWidth="1"/>
    <col min="4" max="4" width="25.453125" customWidth="1"/>
    <col min="5" max="5" width="27.26953125" customWidth="1"/>
    <col min="6" max="6" width="30" customWidth="1"/>
    <col min="7" max="7" width="47.26953125" customWidth="1"/>
  </cols>
  <sheetData>
    <row r="1" spans="1:7" s="8" customFormat="1" ht="22" customHeight="1" x14ac:dyDescent="0.35">
      <c r="A1" s="7" t="s">
        <v>0</v>
      </c>
      <c r="B1" s="7" t="s">
        <v>212</v>
      </c>
      <c r="C1" s="7" t="s">
        <v>213</v>
      </c>
      <c r="D1" s="7" t="s">
        <v>214</v>
      </c>
      <c r="E1" s="7" t="s">
        <v>215</v>
      </c>
      <c r="F1" s="7" t="s">
        <v>216</v>
      </c>
      <c r="G1" s="7" t="s">
        <v>217</v>
      </c>
    </row>
    <row r="2" spans="1:7" x14ac:dyDescent="0.35">
      <c r="A2" t="s">
        <v>18</v>
      </c>
      <c r="B2" s="3">
        <v>44469</v>
      </c>
      <c r="C2" s="1">
        <v>63992375</v>
      </c>
      <c r="D2" s="1">
        <v>63117375</v>
      </c>
      <c r="E2" s="1">
        <v>63992375</v>
      </c>
      <c r="F2" s="1">
        <v>0</v>
      </c>
      <c r="G2" t="s">
        <v>218</v>
      </c>
    </row>
    <row r="3" spans="1:7" x14ac:dyDescent="0.35">
      <c r="A3" t="s">
        <v>18</v>
      </c>
      <c r="B3" s="3">
        <v>44561</v>
      </c>
      <c r="C3" s="1">
        <v>143488750</v>
      </c>
      <c r="D3" s="1">
        <v>141803750</v>
      </c>
      <c r="E3" s="1">
        <v>143488750</v>
      </c>
      <c r="F3" s="1">
        <v>0</v>
      </c>
      <c r="G3" t="s">
        <v>219</v>
      </c>
    </row>
    <row r="4" spans="1:7" x14ac:dyDescent="0.35">
      <c r="A4" t="s">
        <v>18</v>
      </c>
      <c r="B4" s="3">
        <v>44651</v>
      </c>
      <c r="C4" s="1">
        <v>146200000</v>
      </c>
      <c r="D4" s="1">
        <v>144200000</v>
      </c>
      <c r="E4" s="1">
        <v>143488750</v>
      </c>
      <c r="F4" s="1">
        <v>0</v>
      </c>
      <c r="G4" t="s">
        <v>220</v>
      </c>
    </row>
    <row r="5" spans="1:7" x14ac:dyDescent="0.35">
      <c r="A5" t="s">
        <v>18</v>
      </c>
      <c r="B5" s="3">
        <v>44742</v>
      </c>
      <c r="C5" s="1">
        <v>148900000</v>
      </c>
      <c r="D5" s="1">
        <v>146800000</v>
      </c>
      <c r="E5" s="1">
        <v>143488750</v>
      </c>
      <c r="F5" s="1">
        <v>0</v>
      </c>
      <c r="G5" t="s">
        <v>221</v>
      </c>
    </row>
    <row r="6" spans="1:7" x14ac:dyDescent="0.35">
      <c r="A6" t="s">
        <v>18</v>
      </c>
      <c r="B6" s="3">
        <v>44834</v>
      </c>
      <c r="C6" s="1">
        <v>134743000</v>
      </c>
      <c r="D6" s="1">
        <v>132743000</v>
      </c>
      <c r="E6" s="1">
        <v>131743000</v>
      </c>
      <c r="F6" s="1">
        <v>0</v>
      </c>
      <c r="G6" t="s">
        <v>242</v>
      </c>
    </row>
    <row r="7" spans="1:7" x14ac:dyDescent="0.35">
      <c r="A7" t="s">
        <v>18</v>
      </c>
      <c r="B7" s="3">
        <v>44926</v>
      </c>
      <c r="C7" s="1">
        <v>150000000</v>
      </c>
      <c r="D7" s="1">
        <v>147500000</v>
      </c>
      <c r="E7" s="1">
        <v>131743000</v>
      </c>
      <c r="F7" s="1">
        <v>21659400</v>
      </c>
      <c r="G7" t="s">
        <v>222</v>
      </c>
    </row>
    <row r="8" spans="1:7" x14ac:dyDescent="0.35">
      <c r="A8" t="s">
        <v>18</v>
      </c>
      <c r="B8" s="3">
        <v>45016</v>
      </c>
      <c r="C8" s="1">
        <v>155000000</v>
      </c>
      <c r="D8" s="1">
        <v>152500000</v>
      </c>
      <c r="E8" s="1">
        <v>131743000</v>
      </c>
      <c r="F8" s="1">
        <v>21659400</v>
      </c>
      <c r="G8" t="s">
        <v>223</v>
      </c>
    </row>
    <row r="9" spans="1:7" x14ac:dyDescent="0.35">
      <c r="A9" t="s">
        <v>18</v>
      </c>
      <c r="B9" s="3">
        <v>45107</v>
      </c>
      <c r="C9" s="1">
        <v>160000000</v>
      </c>
      <c r="D9" s="1">
        <v>157500000</v>
      </c>
      <c r="E9" s="1">
        <v>131743000</v>
      </c>
      <c r="F9" s="1">
        <v>21659400</v>
      </c>
      <c r="G9" t="s">
        <v>224</v>
      </c>
    </row>
    <row r="10" spans="1:7" x14ac:dyDescent="0.35">
      <c r="A10" t="s">
        <v>18</v>
      </c>
      <c r="B10" s="3">
        <v>45199</v>
      </c>
      <c r="C10" s="1">
        <v>148000000</v>
      </c>
      <c r="D10" s="1">
        <v>145500000</v>
      </c>
      <c r="E10" s="1">
        <v>131743000</v>
      </c>
      <c r="F10" s="1">
        <v>51194800</v>
      </c>
      <c r="G10" t="s">
        <v>225</v>
      </c>
    </row>
    <row r="11" spans="1:7" x14ac:dyDescent="0.35">
      <c r="A11" t="s">
        <v>18</v>
      </c>
      <c r="B11" s="3">
        <v>45382</v>
      </c>
      <c r="C11" s="1">
        <v>150000000</v>
      </c>
      <c r="D11" s="1">
        <v>147500000</v>
      </c>
      <c r="E11" s="1">
        <v>131743000</v>
      </c>
      <c r="F11" s="1">
        <v>51194800</v>
      </c>
      <c r="G11" t="s">
        <v>226</v>
      </c>
    </row>
    <row r="12" spans="1:7" x14ac:dyDescent="0.35">
      <c r="A12" t="s">
        <v>18</v>
      </c>
      <c r="B12" s="3">
        <v>45473</v>
      </c>
      <c r="C12" s="1">
        <v>152000000</v>
      </c>
      <c r="D12" s="1">
        <v>149500000</v>
      </c>
      <c r="E12" s="1">
        <v>131743000</v>
      </c>
      <c r="F12" s="1">
        <v>51194800</v>
      </c>
      <c r="G12" t="s">
        <v>227</v>
      </c>
    </row>
    <row r="13" spans="1:7" x14ac:dyDescent="0.35">
      <c r="A13" t="s">
        <v>10</v>
      </c>
      <c r="B13" s="3">
        <v>44742</v>
      </c>
      <c r="C13" s="1">
        <v>255000000</v>
      </c>
      <c r="D13" s="1">
        <v>250000000</v>
      </c>
      <c r="E13" s="1">
        <v>255072675</v>
      </c>
      <c r="F13" s="1">
        <v>0</v>
      </c>
      <c r="G13" t="s">
        <v>228</v>
      </c>
    </row>
    <row r="14" spans="1:7" x14ac:dyDescent="0.35">
      <c r="A14" t="s">
        <v>10</v>
      </c>
      <c r="B14" s="3">
        <v>44834</v>
      </c>
      <c r="C14" s="1">
        <v>248000000</v>
      </c>
      <c r="D14" s="1">
        <v>242000000</v>
      </c>
      <c r="E14" s="1">
        <v>298901900</v>
      </c>
      <c r="F14" s="1">
        <v>0</v>
      </c>
      <c r="G14" t="s">
        <v>229</v>
      </c>
    </row>
    <row r="15" spans="1:7" x14ac:dyDescent="0.35">
      <c r="A15" t="s">
        <v>10</v>
      </c>
      <c r="B15" s="3">
        <v>44926</v>
      </c>
      <c r="C15" s="1">
        <v>265000000</v>
      </c>
      <c r="D15" s="1">
        <v>258000000</v>
      </c>
      <c r="E15" s="1">
        <v>298901900</v>
      </c>
      <c r="F15" s="1">
        <v>0</v>
      </c>
      <c r="G15" t="s">
        <v>230</v>
      </c>
    </row>
    <row r="16" spans="1:7" x14ac:dyDescent="0.35">
      <c r="A16" t="s">
        <v>10</v>
      </c>
      <c r="B16" s="3">
        <v>45016</v>
      </c>
      <c r="C16" s="1">
        <v>290000000</v>
      </c>
      <c r="D16" s="1">
        <v>282000000</v>
      </c>
      <c r="E16" s="1">
        <v>298901900</v>
      </c>
      <c r="F16" s="1">
        <v>0</v>
      </c>
      <c r="G16" t="s">
        <v>231</v>
      </c>
    </row>
    <row r="17" spans="1:7" x14ac:dyDescent="0.35">
      <c r="A17" t="s">
        <v>10</v>
      </c>
      <c r="B17" s="3">
        <v>45107</v>
      </c>
      <c r="C17" s="1">
        <v>615000000</v>
      </c>
      <c r="D17" s="1">
        <v>597000000</v>
      </c>
      <c r="E17" s="1">
        <v>622000000</v>
      </c>
      <c r="F17" s="1">
        <v>0</v>
      </c>
      <c r="G17" t="s">
        <v>232</v>
      </c>
    </row>
    <row r="18" spans="1:7" x14ac:dyDescent="0.35">
      <c r="A18" t="s">
        <v>10</v>
      </c>
      <c r="B18" s="3">
        <v>45199</v>
      </c>
      <c r="C18" s="1">
        <v>640000000</v>
      </c>
      <c r="D18" s="1">
        <v>621000000</v>
      </c>
      <c r="E18" s="1">
        <v>635146350</v>
      </c>
      <c r="F18" s="1">
        <v>0</v>
      </c>
      <c r="G18" t="s">
        <v>233</v>
      </c>
    </row>
    <row r="19" spans="1:7" x14ac:dyDescent="0.35">
      <c r="A19" t="s">
        <v>10</v>
      </c>
      <c r="B19" s="3">
        <v>45291</v>
      </c>
      <c r="C19" s="1">
        <v>680000000</v>
      </c>
      <c r="D19" s="1">
        <v>659000000</v>
      </c>
      <c r="E19" s="1">
        <v>635146350</v>
      </c>
      <c r="F19" s="1">
        <v>0</v>
      </c>
      <c r="G19" t="s">
        <v>234</v>
      </c>
    </row>
    <row r="20" spans="1:7" x14ac:dyDescent="0.35">
      <c r="A20" t="s">
        <v>10</v>
      </c>
      <c r="B20" s="3">
        <v>45382</v>
      </c>
      <c r="C20" s="1">
        <v>700000000</v>
      </c>
      <c r="D20" s="1">
        <v>679000000</v>
      </c>
      <c r="E20" s="1">
        <v>805765050</v>
      </c>
      <c r="F20" s="1">
        <v>0</v>
      </c>
      <c r="G20" t="s">
        <v>235</v>
      </c>
    </row>
    <row r="21" spans="1:7" x14ac:dyDescent="0.35">
      <c r="A21" t="s">
        <v>10</v>
      </c>
      <c r="B21" s="3">
        <v>45473</v>
      </c>
      <c r="C21" s="1">
        <v>730000000</v>
      </c>
      <c r="D21" s="1">
        <v>708000000</v>
      </c>
      <c r="E21" s="1">
        <v>805765050</v>
      </c>
      <c r="F21" s="1">
        <v>91071429</v>
      </c>
      <c r="G21" t="s">
        <v>236</v>
      </c>
    </row>
    <row r="22" spans="1:7" x14ac:dyDescent="0.35">
      <c r="A22" t="s">
        <v>14</v>
      </c>
      <c r="B22" s="3">
        <v>45107</v>
      </c>
      <c r="C22" s="1">
        <v>120000000</v>
      </c>
      <c r="D22" s="1">
        <v>117000000</v>
      </c>
      <c r="E22" s="1">
        <v>120250000</v>
      </c>
      <c r="F22" s="1">
        <v>0</v>
      </c>
      <c r="G22" t="s">
        <v>237</v>
      </c>
    </row>
    <row r="23" spans="1:7" x14ac:dyDescent="0.35">
      <c r="A23" t="s">
        <v>14</v>
      </c>
      <c r="B23" s="3">
        <v>45199</v>
      </c>
      <c r="C23" s="1">
        <v>196000000</v>
      </c>
      <c r="D23" s="1">
        <v>191000000</v>
      </c>
      <c r="E23" s="1">
        <v>313996750</v>
      </c>
      <c r="F23" s="1">
        <v>0</v>
      </c>
      <c r="G23" t="s">
        <v>238</v>
      </c>
    </row>
    <row r="24" spans="1:7" x14ac:dyDescent="0.35">
      <c r="A24" t="s">
        <v>14</v>
      </c>
      <c r="B24" s="3">
        <v>45291</v>
      </c>
      <c r="C24" s="1">
        <v>220000000</v>
      </c>
      <c r="D24" s="1">
        <v>214000000</v>
      </c>
      <c r="E24" s="1">
        <v>313996750</v>
      </c>
      <c r="F24" s="1">
        <v>0</v>
      </c>
      <c r="G24" t="s">
        <v>239</v>
      </c>
    </row>
    <row r="25" spans="1:7" x14ac:dyDescent="0.35">
      <c r="A25" t="s">
        <v>14</v>
      </c>
      <c r="B25" s="3">
        <v>45382</v>
      </c>
      <c r="C25" s="1">
        <v>245000000</v>
      </c>
      <c r="D25" s="1">
        <v>238000000</v>
      </c>
      <c r="E25" s="1">
        <v>313996750</v>
      </c>
      <c r="F25" s="1">
        <v>0</v>
      </c>
      <c r="G25" t="s">
        <v>240</v>
      </c>
    </row>
    <row r="26" spans="1:7" x14ac:dyDescent="0.35">
      <c r="A26" t="s">
        <v>14</v>
      </c>
      <c r="B26" s="3">
        <v>45473</v>
      </c>
      <c r="C26" s="1">
        <v>265000000</v>
      </c>
      <c r="D26" s="1">
        <v>257500000</v>
      </c>
      <c r="E26" s="1">
        <v>313996750</v>
      </c>
      <c r="F26" s="1">
        <v>0</v>
      </c>
      <c r="G26" t="s">
        <v>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Funds</vt:lpstr>
      <vt:lpstr>Investors</vt:lpstr>
      <vt:lpstr>Commitments</vt:lpstr>
      <vt:lpstr>FX_Rates</vt:lpstr>
      <vt:lpstr>Transactions</vt:lpstr>
      <vt:lpstr>NAV_Quarterly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Vohra</dc:creator>
  <cp:lastModifiedBy>Akhil Vohra</cp:lastModifiedBy>
  <dcterms:created xsi:type="dcterms:W3CDTF">2026-02-27T10:15:12Z</dcterms:created>
  <dcterms:modified xsi:type="dcterms:W3CDTF">2026-02-27T11:03:40Z</dcterms:modified>
</cp:coreProperties>
</file>